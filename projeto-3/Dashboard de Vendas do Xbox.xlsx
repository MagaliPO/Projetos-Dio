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cuments\EXCEL IA CLAUDE\MODULO 13\"/>
    </mc:Choice>
  </mc:AlternateContent>
  <xr:revisionPtr revIDLastSave="0" documentId="13_ncr:1_{A5A1D2F2-C799-4ED3-A85B-4FE5370D1AE0}" xr6:coauthVersionLast="47" xr6:coauthVersionMax="47" xr10:uidLastSave="{00000000-0000-0000-0000-000000000000}"/>
  <bookViews>
    <workbookView xWindow="-120" yWindow="-120" windowWidth="29040" windowHeight="15840" tabRatio="0" firstSheet="3" activeTab="3" xr2:uid="{28DD5B76-0634-4F87-BE60-8BFA7EF2E23B}"/>
  </bookViews>
  <sheets>
    <sheet name="A̳ssets" sheetId="1" state="hidden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3" l="1"/>
  <c r="E38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<sst xmlns="http://schemas.openxmlformats.org/spreadsheetml/2006/main" count="2022" uniqueCount="324">
  <si>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</si>
  <si>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</si>
  <si>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</si>
  <si>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</si>
  <si>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</si>
  <si>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</si>
  <si>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</si>
  <si>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</si>
  <si>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</si>
  <si>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</si>
  <si>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</si>
  <si>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</si>
  <si>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</si>
  <si>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</si>
  <si>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</si>
  <si>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</si>
  <si>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</si>
  <si>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</si>
  <si>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</si>
  <si>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</si>
  <si>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</si>
  <si>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</si>
  <si>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</si>
  <si>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</si>
  <si>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</si>
  <si>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</si>
  <si>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</si>
  <si>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</si>
  <si>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</si>
  <si>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</si>
  <si>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</si>
  <si>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</si>
  <si>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</si>
  <si>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</si>
  <si>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</si>
  <si>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</si>
  <si>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</si>
  <si>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</si>
  <si>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</si>
  <si>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</si>
  <si>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</si>
  <si>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</si>
  <si>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</si>
  <si>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</si>
  <si>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</si>
  <si>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</si>
  <si>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</si>
  <si>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</si>
  <si>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</si>
  <si>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</si>
  <si>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</si>
  <si>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</si>
  <si>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</si>
  <si>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</si>
  <si>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</si>
  <si>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</si>
  <si>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</si>
  <si>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</si>
  <si>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</si>
  <si>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</si>
  <si>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</si>
  <si>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</si>
  <si>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</si>
  <si>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</si>
  <si>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</si>
  <si>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</si>
  <si>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</si>
  <si>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</si>
  <si>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</si>
  <si>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</si>
  <si>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</si>
  <si>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</si>
  <si>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</si>
  <si>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</si>
  <si>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</si>
  <si>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</si>
  <si>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</si>
  <si>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</si>
  <si>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</si>
  <si>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</si>
  <si>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</si>
  <si>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</si>
  <si>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</si>
  <si>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</si>
  <si>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</si>
  <si>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</si>
  <si>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</si>
  <si>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</si>
  <si>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</si>
  <si>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</si>
  <si>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</si>
  <si>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</si>
  <si>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</si>
  <si>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</si>
  <si>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</si>
  <si>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</si>
  <si>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</si>
  <si>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</si>
  <si>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</si>
  <si>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</si>
  <si>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</si>
  <si>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</si>
  <si>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</si>
  <si>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</si>
  <si>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</si>
  <si>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</si>
  <si>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</si>
  <si>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</si>
  <si>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</si>
  <si>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</si>
  <si>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</si>
  <si>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</si>
  <si>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</si>
  <si>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</si>
  <si>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</si>
  <si>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</si>
  <si>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</si>
  <si>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</si>
  <si>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</si>
  <si>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</si>
  <si>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</si>
  <si>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</si>
  <si>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</si>
  <si>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</si>
  <si>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</si>
  <si>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</si>
  <si>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</si>
  <si>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</si>
  <si>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</si>
  <si>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</si>
  <si>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</si>
  <si>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</si>
  <si>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</si>
  <si>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</si>
  <si>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</si>
  <si>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</si>
  <si>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</si>
  <si>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</si>
  <si>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</si>
  <si>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</si>
  <si>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</si>
  <si>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</si>
  <si>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</si>
  <si>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</si>
  <si>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</si>
  <si>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</si>
  <si>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</si>
  <si>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</si>
  <si>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</si>
  <si>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</si>
  <si>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</si>
  <si>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</si>
  <si>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</si>
  <si>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</si>
  <si>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</si>
  <si>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</si>
  <si>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</si>
  <si>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</si>
  <si>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</si>
  <si>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</si>
  <si>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</si>
  <si>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</si>
  <si>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</si>
  <si>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</si>
  <si>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</si>
  <si>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</si>
  <si>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</si>
  <si>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</si>
  <si>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</si>
  <si>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</si>
  <si>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</si>
  <si>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</si>
  <si>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</si>
  <si>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</si>
  <si>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</si>
  <si>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</si>
  <si>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</si>
  <si>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</si>
  <si>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</si>
  <si>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</si>
  <si>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</si>
  <si>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</si>
  <si>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</si>
  <si>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</si>
  <si>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</si>
  <si>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</si>
  <si>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</si>
  <si>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</si>
  <si>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</si>
  <si>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</si>
  <si>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</si>
  <si>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</si>
  <si>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</si>
  <si>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</si>
  <si>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</si>
  <si>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</si>
  <si>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</si>
  <si>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</si>
  <si>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</si>
  <si>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</si>
  <si>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</si>
  <si>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</si>
  <si>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</si>
  <si>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</si>
  <si>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</si>
  <si>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</si>
  <si>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</si>
  <si>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</si>
  <si>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</si>
  <si>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</si>
  <si>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</si>
  <si>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</si>
  <si>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</si>
  <si>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</si>
  <si>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</si>
  <si>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</si>
  <si>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</si>
  <si>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</si>
  <si>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</si>
  <si>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</si>
  <si>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</si>
  <si>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</si>
  <si>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</si>
  <si>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</si>
  <si>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</si>
  <si>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</si>
  <si>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</si>
  <si>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</si>
  <si>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</si>
  <si>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</si>
  <si>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</si>
  <si>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</si>
  <si>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</si>
  <si>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</si>
  <si>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</si>
  <si>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</si>
  <si>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</si>
  <si>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</si>
  <si>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</si>
  <si>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</si>
  <si>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</si>
  <si>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</si>
  <si>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</si>
  <si>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</si>
  <si>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</si>
  <si>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</si>
  <si>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</si>
  <si>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</si>
  <si>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</si>
  <si>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</si>
  <si>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</si>
  <si>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</si>
  <si>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</si>
  <si>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</si>
  <si>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</si>
  <si>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</si>
  <si>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</si>
  <si>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</si>
  <si>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</si>
  <si>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</si>
  <si>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</si>
  <si>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</si>
  <si>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</si>
  <si>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</si>
  <si>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</si>
  <si>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</si>
  <si>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</si>
  <si>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</si>
  <si>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</si>
  <si>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</si>
  <si>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</si>
  <si>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</si>
  <si>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</si>
  <si>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</si>
  <si>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</si>
  <si>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</si>
  <si>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</si>
  <si>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</si>
  <si>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</si>
  <si>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</si>
  <si>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</si>
  <si>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</si>
  <si>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</si>
  <si>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</si>
  <si>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</si>
  <si>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</si>
  <si>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</si>
  <si>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</si>
  <si>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</si>
  <si>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</si>
  <si>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</si>
  <si>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</si>
  <si>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</si>
  <si>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</si>
  <si>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</si>
  <si>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</si>
  <si>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</si>
  <si>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</si>
  <si>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</si>
  <si>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</si>
  <si>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</si>
  <si>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</si>
  <si>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</si>
  <si>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</si>
  <si>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</si>
  <si>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</si>
  <si>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</si>
  <si>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</si>
  <si>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</si>
  <si>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</si>
  <si>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</si>
  <si>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</si>
  <si>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</si>
  <si>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</si>
  <si>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</si>
  <si>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</si>
  <si>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>Pergunta de Negócio 1 -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? (contendo todas as assinaturas agregadas)</t>
    </r>
  </si>
  <si>
    <t>XBOX GAME PASS SUBSCRIPTIONS SALES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</si>
  <si>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planos anuais? Separado por auto renovação, ou não é por auto renovação </t>
    </r>
  </si>
  <si>
    <t>Soma de EA Play Season Pass</t>
  </si>
  <si>
    <t>A diferença entre dados e informações é Uma pergunta de negócio respondida através de análise de dados específica</t>
  </si>
  <si>
    <t>Pergunta de negócio 3- Qual o total de vendas do EA Play</t>
  </si>
  <si>
    <t>Pergunbta de Negócio 4 - Qual o total de vendas do Minecraft Seasnon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</si>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</sst>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3"/>
    <xf numFmtId="0" fontId="6" fillId="0" borderId="2" xfId="1" applyFont="1" applyBorder="1"/>
    <xf numFmtId="0" fontId="5" fillId="0" borderId="2" xfId="1" applyFont="1" applyBorder="1"/>
    <xf numFmtId="164" fontId="0" fillId="0" borderId="0" xfId="0" applyNumberFormat="1"/>
    <xf numFmtId="0" fontId="0" fillId="0" borderId="0" xfId="0" applyAlignment="1">
      <alignment horizontal="left" indent="1"/>
    </xf>
    <xf numFmtId="0" fontId="6" fillId="0" borderId="2" xfId="1" applyFont="1" applyBorder="1" applyAlignment="1">
      <alignment vertical="center"/>
    </xf>
    <xf numFmtId="0" fontId="6" fillId="0" borderId="2" xfId="1" applyFont="1" applyBorder="1" applyAlignment="1">
      <alignment horizontal="left" vertical="center"/>
    </xf>
    <xf numFmtId="0" fontId="0" fillId="0" borderId="0" xfId="0" applyNumberFormat="1"/>
    <xf numFmtId="0" fontId="6" fillId="0" borderId="2" xfId="1" applyFont="1" applyBorder="1" applyAlignment="1">
      <alignment horizontal="left" indent="5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47E58C0-9F30-4ED0-8336-3E60788178C8}">
      <tableStyleElement type="wholeTable" dxfId="15"/>
      <tableStyleElement type="headerRow" dxfId="14"/>
    </tableStyle>
  </tableStyles>
  <colors>
    <mruColors>
      <color rgb="FF22C55E"/>
      <color rgb="FF2AE6B1"/>
      <color rgb="FF9BC848"/>
      <color rgb="FFF7F8FC"/>
      <color rgb="FFE8E6E9"/>
      <color rgb="FF5BF6A8"/>
      <color rgb="FF000000"/>
      <color rgb="FFE0E0E0"/>
      <color rgb="FFEDEDED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rgb="FF9BC848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[Base_em_uso.xlsx]C̳álculos!tbl_annual_total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</c:pivotFmt>
      <c:pivotFmt>
        <c:idx val="2"/>
        <c:spPr>
          <a:solidFill>
            <a:srgbClr val="2AE6B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E6B1"/>
          </a:solidFill>
          <a:ln>
            <a:noFill/>
          </a:ln>
          <a:effectLst/>
        </c:spPr>
      </c:pivotFmt>
      <c:pivotFmt>
        <c:idx val="5"/>
        <c:spPr>
          <a:solidFill>
            <a:srgbClr val="2AE6B1"/>
          </a:solidFill>
          <a:ln>
            <a:noFill/>
          </a:ln>
          <a:effectLst/>
        </c:spPr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  <c:dLbl>
          <c:idx val="0"/>
          <c:layout>
            <c:manualLayout>
              <c:x val="-4.3609452514801385E-3"/>
              <c:y val="-8.953905517728346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8992459112990603E-2"/>
          <c:y val="7.3260073260073263E-2"/>
          <c:w val="0.94084986464644882"/>
          <c:h val="0.892551892551892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BE0-4D52-A0B2-8E81504FD44E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BE0-4D52-A0B2-8E81504FD44E}"/>
              </c:ext>
            </c:extLst>
          </c:dPt>
          <c:dLbls>
            <c:dLbl>
              <c:idx val="0"/>
              <c:layout>
                <c:manualLayout>
                  <c:x val="-4.3609452514801385E-3"/>
                  <c:y val="-8.9539055177283466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E0-4D52-A0B2-8E81504FD4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E0-4D52-A0B2-8E81504FD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9796168"/>
        <c:axId val="519796528"/>
      </c:barChart>
      <c:catAx>
        <c:axId val="519796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9796528"/>
        <c:crosses val="autoZero"/>
        <c:auto val="1"/>
        <c:lblAlgn val="ctr"/>
        <c:lblOffset val="100"/>
        <c:noMultiLvlLbl val="0"/>
      </c:catAx>
      <c:valAx>
        <c:axId val="51979652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19796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24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24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28575</xdr:colOff>
      <xdr:row>0</xdr:row>
      <xdr:rowOff>0</xdr:rowOff>
    </xdr:from>
    <xdr:to>
      <xdr:col>2</xdr:col>
      <xdr:colOff>400050</xdr:colOff>
      <xdr:row>3</xdr:row>
      <xdr:rowOff>1566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41C48CD-8324-4ECE-9E6C-AE2F03E21B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81" t="14944" r="72601" b="19127"/>
        <a:stretch>
          <a:fillRect/>
        </a:stretch>
      </xdr:blipFill>
      <xdr:spPr>
        <a:xfrm>
          <a:off x="1885950" y="0"/>
          <a:ext cx="609600" cy="630216"/>
        </a:xfrm>
        <a:prstGeom prst="rect">
          <a:avLst/>
        </a:prstGeom>
      </xdr:spPr>
    </xdr:pic>
    <xdr:clientData/>
  </xdr:twoCellAnchor>
  <xdr:twoCellAnchor editAs="absolute">
    <xdr:from>
      <xdr:col>0</xdr:col>
      <xdr:colOff>57327</xdr:colOff>
      <xdr:row>6</xdr:row>
      <xdr:rowOff>57149</xdr:rowOff>
    </xdr:from>
    <xdr:to>
      <xdr:col>0</xdr:col>
      <xdr:colOff>1838502</xdr:colOff>
      <xdr:row>20</xdr:row>
      <xdr:rowOff>38099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5B22F9E5-2550-4109-B78D-4ADDA4F4BE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327" y="1257299"/>
              <a:ext cx="1781175" cy="264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238124</xdr:colOff>
      <xdr:row>6</xdr:row>
      <xdr:rowOff>57149</xdr:rowOff>
    </xdr:from>
    <xdr:to>
      <xdr:col>9</xdr:col>
      <xdr:colOff>114300</xdr:colOff>
      <xdr:row>15</xdr:row>
      <xdr:rowOff>136611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47FFF1FA-D200-CF32-994B-9F21ACA9248D}"/>
            </a:ext>
          </a:extLst>
        </xdr:cNvPr>
        <xdr:cNvGrpSpPr/>
      </xdr:nvGrpSpPr>
      <xdr:grpSpPr>
        <a:xfrm>
          <a:off x="2095499" y="1257299"/>
          <a:ext cx="4333876" cy="1793962"/>
          <a:chOff x="2152649" y="1257299"/>
          <a:chExt cx="4333876" cy="1793962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A7AE8637-64AA-AC53-60D4-13F4FB81AD1B}"/>
              </a:ext>
            </a:extLst>
          </xdr:cNvPr>
          <xdr:cNvSpPr/>
        </xdr:nvSpPr>
        <xdr:spPr>
          <a:xfrm flipH="1">
            <a:off x="2152649" y="1268729"/>
            <a:ext cx="4333876" cy="1693546"/>
          </a:xfrm>
          <a:prstGeom prst="roundRect">
            <a:avLst>
              <a:gd name="adj" fmla="val 1385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5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5F2FCDD8-A1EF-7F86-7945-35F96BC33921}"/>
              </a:ext>
            </a:extLst>
          </xdr:cNvPr>
          <xdr:cNvSpPr/>
        </xdr:nvSpPr>
        <xdr:spPr>
          <a:xfrm flipH="1">
            <a:off x="3314700" y="1719261"/>
            <a:ext cx="3171825" cy="1332000"/>
          </a:xfrm>
          <a:prstGeom prst="roundRect">
            <a:avLst>
              <a:gd name="adj" fmla="val 1385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55C5740-AE01-4134-92C8-6F244D06CCCE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ctr"/>
              <a:t>R$ 990,00</a:t>
            </a:fld>
            <a:endParaRPr lang="pt-BR" sz="3200">
              <a:solidFill>
                <a:srgbClr val="22C55E"/>
              </a:solidFill>
            </a:endParaRPr>
          </a:p>
        </xdr:txBody>
      </xdr:sp>
      <xdr:pic>
        <xdr:nvPicPr>
          <xdr:cNvPr id="6" name="Imagem 5">
            <a:extLst>
              <a:ext uri="{FF2B5EF4-FFF2-40B4-BE49-F238E27FC236}">
                <a16:creationId xmlns:a16="http://schemas.microsoft.com/office/drawing/2014/main" id="{CEE8A07B-4606-43E9-87EC-689247A775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17138" y="1719261"/>
            <a:ext cx="1332000" cy="1332000"/>
          </a:xfrm>
          <a:prstGeom prst="rect">
            <a:avLst/>
          </a:prstGeom>
        </xdr:spPr>
      </xdr:pic>
      <xdr:sp macro="" textlink="">
        <xdr:nvSpPr>
          <xdr:cNvPr id="7" name="Retângulo: Cantos Superiores Arredondados 6">
            <a:extLst>
              <a:ext uri="{FF2B5EF4-FFF2-40B4-BE49-F238E27FC236}">
                <a16:creationId xmlns:a16="http://schemas.microsoft.com/office/drawing/2014/main" id="{A80022CC-3635-FAE1-F668-E2CC26EA62B0}"/>
              </a:ext>
            </a:extLst>
          </xdr:cNvPr>
          <xdr:cNvSpPr/>
        </xdr:nvSpPr>
        <xdr:spPr>
          <a:xfrm>
            <a:off x="2152649" y="1257299"/>
            <a:ext cx="4333875" cy="447675"/>
          </a:xfrm>
          <a:prstGeom prst="round2SameRect">
            <a:avLst>
              <a:gd name="adj1" fmla="val 44327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9</xdr:col>
      <xdr:colOff>447674</xdr:colOff>
      <xdr:row>6</xdr:row>
      <xdr:rowOff>57149</xdr:rowOff>
    </xdr:from>
    <xdr:to>
      <xdr:col>17</xdr:col>
      <xdr:colOff>76200</xdr:colOff>
      <xdr:row>15</xdr:row>
      <xdr:rowOff>136611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C531B956-7D82-B158-89A7-34D0544E3629}"/>
            </a:ext>
          </a:extLst>
        </xdr:cNvPr>
        <xdr:cNvGrpSpPr/>
      </xdr:nvGrpSpPr>
      <xdr:grpSpPr>
        <a:xfrm>
          <a:off x="6762749" y="1257299"/>
          <a:ext cx="4333876" cy="1793962"/>
          <a:chOff x="6972300" y="1292138"/>
          <a:chExt cx="4333876" cy="1793962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769B4683-4D2D-42D3-4D58-DBE0595D5CED}"/>
              </a:ext>
            </a:extLst>
          </xdr:cNvPr>
          <xdr:cNvGrpSpPr/>
        </xdr:nvGrpSpPr>
        <xdr:grpSpPr>
          <a:xfrm>
            <a:off x="6972300" y="1292138"/>
            <a:ext cx="4333876" cy="1793962"/>
            <a:chOff x="2152649" y="1257299"/>
            <a:chExt cx="4333876" cy="1793962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31721B51-EFF8-33BF-2405-82855A155DAF}"/>
                </a:ext>
              </a:extLst>
            </xdr:cNvPr>
            <xdr:cNvSpPr/>
          </xdr:nvSpPr>
          <xdr:spPr>
            <a:xfrm flipH="1">
              <a:off x="2152649" y="1268729"/>
              <a:ext cx="4333876" cy="1693546"/>
            </a:xfrm>
            <a:prstGeom prst="roundRect">
              <a:avLst>
                <a:gd name="adj" fmla="val 1385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8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523B43D3-8BF8-DBFE-3892-CB05070A6631}"/>
                </a:ext>
              </a:extLst>
            </xdr:cNvPr>
            <xdr:cNvSpPr/>
          </xdr:nvSpPr>
          <xdr:spPr>
            <a:xfrm flipH="1">
              <a:off x="3314700" y="1719261"/>
              <a:ext cx="3171825" cy="1332000"/>
            </a:xfrm>
            <a:prstGeom prst="roundRect">
              <a:avLst>
                <a:gd name="adj" fmla="val 13856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1EA9DF5-43C1-47B5-A9A6-1E59CE335C44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R$ 1.140,00</a:t>
              </a:fld>
              <a:endParaRPr lang="pt-BR" sz="36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9A0E45CE-3DA3-9C41-E461-69C28EC6B982}"/>
                </a:ext>
              </a:extLst>
            </xdr:cNvPr>
            <xdr:cNvSpPr/>
          </xdr:nvSpPr>
          <xdr:spPr>
            <a:xfrm>
              <a:off x="2152649" y="1257299"/>
              <a:ext cx="4333875" cy="447675"/>
            </a:xfrm>
            <a:prstGeom prst="round2SameRect">
              <a:avLst>
                <a:gd name="adj1" fmla="val 44327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MINECRAFT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9923D55E-E64C-4094-8626-6E43A25E12F8}"/>
              </a:ext>
            </a:extLst>
          </xdr:cNvPr>
          <xdr:cNvGrpSpPr/>
        </xdr:nvGrpSpPr>
        <xdr:grpSpPr>
          <a:xfrm>
            <a:off x="7172325" y="1866900"/>
            <a:ext cx="1219200" cy="752476"/>
            <a:chOff x="3495675" y="5400667"/>
            <a:chExt cx="1549476" cy="752483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3841053B-A05A-3006-2336-5156FDB823B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67"/>
              <a:ext cx="555497" cy="609598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38FFF283-8F29-6EA7-D169-7CAB693934F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238124</xdr:colOff>
      <xdr:row>18</xdr:row>
      <xdr:rowOff>47624</xdr:rowOff>
    </xdr:from>
    <xdr:to>
      <xdr:col>17</xdr:col>
      <xdr:colOff>247015</xdr:colOff>
      <xdr:row>33</xdr:row>
      <xdr:rowOff>114300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AE3E7283-AFA5-F96B-9E4B-2F42BE9F76F1}"/>
            </a:ext>
          </a:extLst>
        </xdr:cNvPr>
        <xdr:cNvGrpSpPr/>
      </xdr:nvGrpSpPr>
      <xdr:grpSpPr>
        <a:xfrm>
          <a:off x="2095499" y="3533774"/>
          <a:ext cx="9171941" cy="2981326"/>
          <a:chOff x="2095499" y="3533774"/>
          <a:chExt cx="8972551" cy="2981326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1CB71474-D83E-3A57-303E-912A6E90B3B7}"/>
              </a:ext>
            </a:extLst>
          </xdr:cNvPr>
          <xdr:cNvGrpSpPr/>
        </xdr:nvGrpSpPr>
        <xdr:grpSpPr>
          <a:xfrm>
            <a:off x="2095499" y="3581399"/>
            <a:ext cx="8972551" cy="2933701"/>
            <a:chOff x="2181224" y="1228724"/>
            <a:chExt cx="4495801" cy="2933701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FCD4BEFC-8036-1D48-CD03-0E099A08F8FB}"/>
                </a:ext>
              </a:extLst>
            </xdr:cNvPr>
            <xdr:cNvSpPr/>
          </xdr:nvSpPr>
          <xdr:spPr>
            <a:xfrm>
              <a:off x="2181224" y="1228724"/>
              <a:ext cx="4495801" cy="2933701"/>
            </a:xfrm>
            <a:prstGeom prst="roundRect">
              <a:avLst>
                <a:gd name="adj" fmla="val 10532"/>
              </a:avLst>
            </a:prstGeom>
            <a:solidFill>
              <a:srgbClr val="F7F8FC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AB2D58F-7A94-459B-8824-410CDBAE76C2}"/>
                </a:ext>
              </a:extLst>
            </xdr:cNvPr>
            <xdr:cNvGraphicFramePr>
              <a:graphicFrameLocks/>
            </xdr:cNvGraphicFramePr>
          </xdr:nvGraphicFramePr>
          <xdr:xfrm>
            <a:off x="2313749" y="1390650"/>
            <a:ext cx="4340243" cy="26003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35ECBB9A-4F8E-423F-B2AE-BF9B6ABB23F8}"/>
              </a:ext>
            </a:extLst>
          </xdr:cNvPr>
          <xdr:cNvSpPr/>
        </xdr:nvSpPr>
        <xdr:spPr>
          <a:xfrm>
            <a:off x="2095500" y="3533774"/>
            <a:ext cx="8972550" cy="447675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XBOX GAME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505002</xdr:colOff>
      <xdr:row>0</xdr:row>
      <xdr:rowOff>95250</xdr:rowOff>
    </xdr:from>
    <xdr:to>
      <xdr:col>0</xdr:col>
      <xdr:colOff>1200327</xdr:colOff>
      <xdr:row>3</xdr:row>
      <xdr:rowOff>161925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7E72F566-2669-4C3E-AF04-14615857B99E}"/>
            </a:ext>
          </a:extLst>
        </xdr:cNvPr>
        <xdr:cNvSpPr>
          <a:spLocks/>
        </xdr:cNvSpPr>
      </xdr:nvSpPr>
      <xdr:spPr>
        <a:xfrm>
          <a:off x="505002" y="95250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47625</xdr:colOff>
      <xdr:row>4</xdr:row>
      <xdr:rowOff>38100</xdr:rowOff>
    </xdr:from>
    <xdr:to>
      <xdr:col>1</xdr:col>
      <xdr:colOff>28752</xdr:colOff>
      <xdr:row>5</xdr:row>
      <xdr:rowOff>104775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CA230F36-E1CE-B3B2-A224-F7B788BB81F0}"/>
            </a:ext>
          </a:extLst>
        </xdr:cNvPr>
        <xdr:cNvSpPr/>
      </xdr:nvSpPr>
      <xdr:spPr>
        <a:xfrm>
          <a:off x="47625" y="857250"/>
          <a:ext cx="1838502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/>
            <a:t>&gt; Bem</a:t>
          </a:r>
          <a:r>
            <a:rPr lang="pt-BR" sz="1100" baseline="0"/>
            <a:t> vinda,  Laura</a:t>
          </a:r>
          <a:endParaRPr lang="pt-BR" sz="1100"/>
        </a:p>
      </xdr:txBody>
    </xdr:sp>
    <xdr:clientData/>
  </xdr:twoCellAnchor>
  <xdr:twoCellAnchor editAs="absolute">
    <xdr:from>
      <xdr:col>2</xdr:col>
      <xdr:colOff>38099</xdr:colOff>
      <xdr:row>3</xdr:row>
      <xdr:rowOff>104775</xdr:rowOff>
    </xdr:from>
    <xdr:to>
      <xdr:col>9</xdr:col>
      <xdr:colOff>114299</xdr:colOff>
      <xdr:row>4</xdr:row>
      <xdr:rowOff>171450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7F5BCE64-196E-49C1-8502-B59EE7293531}"/>
            </a:ext>
          </a:extLst>
        </xdr:cNvPr>
        <xdr:cNvSpPr/>
      </xdr:nvSpPr>
      <xdr:spPr>
        <a:xfrm>
          <a:off x="2133599" y="733425"/>
          <a:ext cx="4295775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>
              <a:solidFill>
                <a:schemeClr val="bg2">
                  <a:lumMod val="50000"/>
                </a:schemeClr>
              </a:solidFill>
            </a:rPr>
            <a:t>Calculation</a:t>
          </a:r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 Peri</a:t>
          </a:r>
          <a:r>
            <a:rPr lang="pt-BR" sz="1100">
              <a:solidFill>
                <a:schemeClr val="bg2">
                  <a:lumMod val="50000"/>
                </a:schemeClr>
              </a:solidFill>
            </a:rPr>
            <a:t>od: 01/01/2025 |</a:t>
          </a:r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 31/12/2025 uptade 26/12/2025</a:t>
          </a:r>
          <a:endParaRPr lang="pt-BR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ga" refreshedDate="46304.765436458336" createdVersion="8" refreshedVersion="8" minRefreshableVersion="3" recordCount="295" xr:uid="{98F2F7DB-942F-41EE-B71F-13F2702E4BC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209196188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x v="0"/>
  </r>
  <r>
    <n v="3232"/>
    <x v="1"/>
    <x v="1"/>
    <d v="2024-01-15T00:00:00"/>
    <x v="1"/>
    <n v="5"/>
    <x v="1"/>
    <s v="No"/>
    <x v="1"/>
    <s v="No"/>
    <n v="0"/>
    <n v="0"/>
    <x v="1"/>
  </r>
  <r>
    <n v="3233"/>
    <x v="2"/>
    <x v="2"/>
    <d v="2024-02-10T00:00:00"/>
    <x v="0"/>
    <n v="10"/>
    <x v="2"/>
    <s v="No"/>
    <x v="1"/>
    <s v="Yes"/>
    <n v="20"/>
    <n v="10"/>
    <x v="2"/>
  </r>
  <r>
    <n v="3234"/>
    <x v="3"/>
    <x v="0"/>
    <d v="2024-02-20T00:00:00"/>
    <x v="1"/>
    <n v="15"/>
    <x v="0"/>
    <s v="Yes"/>
    <x v="0"/>
    <s v="Yes"/>
    <n v="20"/>
    <n v="3"/>
    <x v="3"/>
  </r>
  <r>
    <n v="3235"/>
    <x v="4"/>
    <x v="1"/>
    <d v="2024-03-05T00:00:00"/>
    <x v="0"/>
    <n v="5"/>
    <x v="0"/>
    <s v="No"/>
    <x v="1"/>
    <s v="No"/>
    <n v="0"/>
    <n v="1"/>
    <x v="4"/>
  </r>
  <r>
    <n v="3236"/>
    <x v="5"/>
    <x v="2"/>
    <d v="2024-03-02T00:00:00"/>
    <x v="1"/>
    <n v="10"/>
    <x v="0"/>
    <s v="No"/>
    <x v="1"/>
    <s v="Yes"/>
    <n v="20"/>
    <n v="2"/>
    <x v="5"/>
  </r>
  <r>
    <n v="3237"/>
    <x v="6"/>
    <x v="0"/>
    <d v="2024-03-03T00:00:00"/>
    <x v="0"/>
    <n v="15"/>
    <x v="2"/>
    <s v="Yes"/>
    <x v="0"/>
    <s v="Yes"/>
    <n v="20"/>
    <n v="10"/>
    <x v="6"/>
  </r>
  <r>
    <n v="3238"/>
    <x v="7"/>
    <x v="1"/>
    <d v="2024-03-04T00:00:00"/>
    <x v="0"/>
    <n v="5"/>
    <x v="1"/>
    <s v="No"/>
    <x v="1"/>
    <s v="No"/>
    <n v="0"/>
    <n v="0"/>
    <x v="1"/>
  </r>
  <r>
    <n v="3239"/>
    <x v="8"/>
    <x v="0"/>
    <d v="2024-03-05T00:00:00"/>
    <x v="1"/>
    <n v="15"/>
    <x v="0"/>
    <s v="Yes"/>
    <x v="0"/>
    <s v="Yes"/>
    <n v="20"/>
    <n v="5"/>
    <x v="0"/>
  </r>
  <r>
    <n v="3240"/>
    <x v="9"/>
    <x v="2"/>
    <d v="2024-03-06T00:00:00"/>
    <x v="0"/>
    <n v="10"/>
    <x v="2"/>
    <s v="No"/>
    <x v="1"/>
    <s v="Yes"/>
    <n v="20"/>
    <n v="15"/>
    <x v="7"/>
  </r>
  <r>
    <n v="3241"/>
    <x v="10"/>
    <x v="1"/>
    <d v="2024-03-07T00:00:00"/>
    <x v="1"/>
    <n v="5"/>
    <x v="0"/>
    <s v="No"/>
    <x v="1"/>
    <s v="No"/>
    <n v="0"/>
    <n v="1"/>
    <x v="4"/>
  </r>
  <r>
    <n v="3242"/>
    <x v="11"/>
    <x v="0"/>
    <d v="2024-03-08T00:00:00"/>
    <x v="0"/>
    <n v="15"/>
    <x v="1"/>
    <s v="Yes"/>
    <x v="0"/>
    <s v="Yes"/>
    <n v="20"/>
    <n v="20"/>
    <x v="8"/>
  </r>
  <r>
    <n v="3243"/>
    <x v="12"/>
    <x v="2"/>
    <d v="2024-03-09T00:00:00"/>
    <x v="1"/>
    <n v="10"/>
    <x v="0"/>
    <s v="No"/>
    <x v="1"/>
    <s v="Yes"/>
    <n v="20"/>
    <n v="10"/>
    <x v="2"/>
  </r>
  <r>
    <n v="3244"/>
    <x v="13"/>
    <x v="1"/>
    <d v="2024-03-10T00:00:00"/>
    <x v="0"/>
    <n v="5"/>
    <x v="2"/>
    <s v="No"/>
    <x v="1"/>
    <s v="No"/>
    <n v="0"/>
    <n v="0"/>
    <x v="1"/>
  </r>
  <r>
    <n v="3245"/>
    <x v="14"/>
    <x v="0"/>
    <d v="2024-03-11T00:00:00"/>
    <x v="1"/>
    <n v="15"/>
    <x v="0"/>
    <s v="Yes"/>
    <x v="0"/>
    <s v="Yes"/>
    <n v="20"/>
    <n v="8"/>
    <x v="9"/>
  </r>
  <r>
    <n v="3246"/>
    <x v="15"/>
    <x v="2"/>
    <d v="2024-03-12T00:00:00"/>
    <x v="0"/>
    <n v="10"/>
    <x v="1"/>
    <s v="No"/>
    <x v="1"/>
    <s v="Yes"/>
    <n v="20"/>
    <n v="12"/>
    <x v="10"/>
  </r>
  <r>
    <n v="3247"/>
    <x v="16"/>
    <x v="1"/>
    <d v="2024-03-13T00:00:00"/>
    <x v="1"/>
    <n v="5"/>
    <x v="0"/>
    <s v="No"/>
    <x v="1"/>
    <s v="No"/>
    <n v="0"/>
    <n v="2"/>
    <x v="11"/>
  </r>
  <r>
    <n v="3248"/>
    <x v="17"/>
    <x v="0"/>
    <d v="2024-03-14T00:00:00"/>
    <x v="0"/>
    <n v="15"/>
    <x v="2"/>
    <s v="Yes"/>
    <x v="0"/>
    <s v="Yes"/>
    <n v="20"/>
    <n v="7"/>
    <x v="12"/>
  </r>
  <r>
    <n v="3249"/>
    <x v="18"/>
    <x v="2"/>
    <d v="2024-03-15T00:00:00"/>
    <x v="1"/>
    <n v="10"/>
    <x v="0"/>
    <s v="No"/>
    <x v="1"/>
    <s v="Yes"/>
    <n v="20"/>
    <n v="5"/>
    <x v="13"/>
  </r>
  <r>
    <n v="3250"/>
    <x v="19"/>
    <x v="1"/>
    <d v="2024-03-16T00:00:00"/>
    <x v="0"/>
    <n v="5"/>
    <x v="1"/>
    <s v="No"/>
    <x v="1"/>
    <s v="No"/>
    <n v="0"/>
    <n v="0"/>
    <x v="1"/>
  </r>
  <r>
    <n v="3251"/>
    <x v="20"/>
    <x v="0"/>
    <d v="2024-03-17T00:00:00"/>
    <x v="1"/>
    <n v="15"/>
    <x v="0"/>
    <s v="Yes"/>
    <x v="0"/>
    <s v="Yes"/>
    <n v="20"/>
    <n v="3"/>
    <x v="3"/>
  </r>
  <r>
    <n v="3252"/>
    <x v="21"/>
    <x v="2"/>
    <d v="2024-03-18T00:00:00"/>
    <x v="0"/>
    <n v="10"/>
    <x v="2"/>
    <s v="No"/>
    <x v="1"/>
    <s v="Yes"/>
    <n v="20"/>
    <n v="15"/>
    <x v="7"/>
  </r>
  <r>
    <n v="3253"/>
    <x v="22"/>
    <x v="1"/>
    <d v="2024-03-19T00:00:00"/>
    <x v="1"/>
    <n v="5"/>
    <x v="0"/>
    <s v="No"/>
    <x v="1"/>
    <s v="No"/>
    <n v="0"/>
    <n v="1"/>
    <x v="4"/>
  </r>
  <r>
    <n v="3254"/>
    <x v="23"/>
    <x v="0"/>
    <d v="2024-03-20T00:00:00"/>
    <x v="0"/>
    <n v="15"/>
    <x v="1"/>
    <s v="Yes"/>
    <x v="0"/>
    <s v="Yes"/>
    <n v="20"/>
    <n v="20"/>
    <x v="8"/>
  </r>
  <r>
    <n v="3255"/>
    <x v="24"/>
    <x v="2"/>
    <d v="2024-03-21T00:00:00"/>
    <x v="1"/>
    <n v="10"/>
    <x v="0"/>
    <s v="No"/>
    <x v="1"/>
    <s v="Yes"/>
    <n v="20"/>
    <n v="10"/>
    <x v="2"/>
  </r>
  <r>
    <n v="3256"/>
    <x v="25"/>
    <x v="1"/>
    <d v="2024-03-22T00:00:00"/>
    <x v="0"/>
    <n v="5"/>
    <x v="2"/>
    <s v="No"/>
    <x v="1"/>
    <s v="No"/>
    <n v="0"/>
    <n v="0"/>
    <x v="1"/>
  </r>
  <r>
    <n v="3257"/>
    <x v="26"/>
    <x v="0"/>
    <d v="2024-03-23T00:00:00"/>
    <x v="1"/>
    <n v="15"/>
    <x v="0"/>
    <s v="Yes"/>
    <x v="0"/>
    <s v="Yes"/>
    <n v="20"/>
    <n v="5"/>
    <x v="0"/>
  </r>
  <r>
    <n v="3258"/>
    <x v="27"/>
    <x v="2"/>
    <d v="2024-03-24T00:00:00"/>
    <x v="0"/>
    <n v="10"/>
    <x v="1"/>
    <s v="No"/>
    <x v="1"/>
    <s v="Yes"/>
    <n v="20"/>
    <n v="15"/>
    <x v="7"/>
  </r>
  <r>
    <n v="3259"/>
    <x v="28"/>
    <x v="1"/>
    <d v="2024-03-25T00:00:00"/>
    <x v="1"/>
    <n v="5"/>
    <x v="0"/>
    <s v="No"/>
    <x v="1"/>
    <s v="No"/>
    <n v="0"/>
    <n v="1"/>
    <x v="4"/>
  </r>
  <r>
    <n v="3260"/>
    <x v="29"/>
    <x v="0"/>
    <d v="2024-03-26T00:00:00"/>
    <x v="0"/>
    <n v="15"/>
    <x v="2"/>
    <s v="Yes"/>
    <x v="0"/>
    <s v="Yes"/>
    <n v="20"/>
    <n v="7"/>
    <x v="12"/>
  </r>
  <r>
    <n v="3261"/>
    <x v="30"/>
    <x v="2"/>
    <d v="2024-03-27T00:00:00"/>
    <x v="1"/>
    <n v="10"/>
    <x v="0"/>
    <s v="No"/>
    <x v="1"/>
    <s v="Yes"/>
    <n v="20"/>
    <n v="10"/>
    <x v="2"/>
  </r>
  <r>
    <n v="3262"/>
    <x v="31"/>
    <x v="1"/>
    <d v="2024-03-28T00:00:00"/>
    <x v="0"/>
    <n v="5"/>
    <x v="1"/>
    <s v="No"/>
    <x v="1"/>
    <s v="No"/>
    <n v="0"/>
    <n v="0"/>
    <x v="1"/>
  </r>
  <r>
    <n v="3263"/>
    <x v="32"/>
    <x v="0"/>
    <d v="2024-03-29T00:00:00"/>
    <x v="1"/>
    <n v="15"/>
    <x v="0"/>
    <s v="Yes"/>
    <x v="0"/>
    <s v="Yes"/>
    <n v="20"/>
    <n v="3"/>
    <x v="3"/>
  </r>
  <r>
    <n v="3264"/>
    <x v="33"/>
    <x v="2"/>
    <d v="2024-03-30T00:00:00"/>
    <x v="0"/>
    <n v="10"/>
    <x v="2"/>
    <s v="No"/>
    <x v="1"/>
    <s v="Yes"/>
    <n v="20"/>
    <n v="15"/>
    <x v="7"/>
  </r>
  <r>
    <n v="3265"/>
    <x v="34"/>
    <x v="1"/>
    <d v="2024-03-31T00:00:00"/>
    <x v="1"/>
    <n v="5"/>
    <x v="0"/>
    <s v="No"/>
    <x v="1"/>
    <s v="No"/>
    <n v="0"/>
    <n v="1"/>
    <x v="4"/>
  </r>
  <r>
    <n v="3266"/>
    <x v="35"/>
    <x v="1"/>
    <d v="2024-04-01T00:00:00"/>
    <x v="0"/>
    <n v="5"/>
    <x v="0"/>
    <s v="No"/>
    <x v="1"/>
    <s v="No"/>
    <n v="0"/>
    <n v="0"/>
    <x v="1"/>
  </r>
  <r>
    <n v="3267"/>
    <x v="36"/>
    <x v="0"/>
    <d v="2024-04-02T00:00:00"/>
    <x v="1"/>
    <n v="15"/>
    <x v="2"/>
    <s v="Yes"/>
    <x v="0"/>
    <s v="Yes"/>
    <n v="20"/>
    <n v="7"/>
    <x v="12"/>
  </r>
  <r>
    <n v="3268"/>
    <x v="37"/>
    <x v="2"/>
    <d v="2024-04-03T00:00:00"/>
    <x v="0"/>
    <n v="10"/>
    <x v="1"/>
    <s v="No"/>
    <x v="1"/>
    <s v="Yes"/>
    <n v="20"/>
    <n v="10"/>
    <x v="2"/>
  </r>
  <r>
    <n v="3269"/>
    <x v="38"/>
    <x v="1"/>
    <d v="2024-04-04T00:00:00"/>
    <x v="1"/>
    <n v="5"/>
    <x v="2"/>
    <s v="No"/>
    <x v="1"/>
    <s v="No"/>
    <n v="0"/>
    <n v="1"/>
    <x v="4"/>
  </r>
  <r>
    <n v="3270"/>
    <x v="39"/>
    <x v="0"/>
    <d v="2024-04-05T00:00:00"/>
    <x v="0"/>
    <n v="15"/>
    <x v="0"/>
    <s v="Yes"/>
    <x v="0"/>
    <s v="Yes"/>
    <n v="20"/>
    <n v="15"/>
    <x v="14"/>
  </r>
  <r>
    <n v="3271"/>
    <x v="40"/>
    <x v="2"/>
    <d v="2024-04-06T00:00:00"/>
    <x v="1"/>
    <n v="10"/>
    <x v="0"/>
    <s v="No"/>
    <x v="1"/>
    <s v="Yes"/>
    <n v="20"/>
    <n v="5"/>
    <x v="13"/>
  </r>
  <r>
    <n v="3272"/>
    <x v="41"/>
    <x v="1"/>
    <d v="2024-04-07T00:00:00"/>
    <x v="0"/>
    <n v="5"/>
    <x v="1"/>
    <s v="No"/>
    <x v="1"/>
    <s v="No"/>
    <n v="0"/>
    <n v="0"/>
    <x v="1"/>
  </r>
  <r>
    <n v="3273"/>
    <x v="42"/>
    <x v="0"/>
    <d v="2024-04-08T00:00:00"/>
    <x v="1"/>
    <n v="15"/>
    <x v="2"/>
    <s v="Yes"/>
    <x v="0"/>
    <s v="Yes"/>
    <n v="20"/>
    <n v="20"/>
    <x v="8"/>
  </r>
  <r>
    <n v="3274"/>
    <x v="43"/>
    <x v="2"/>
    <d v="2024-04-09T00:00:00"/>
    <x v="0"/>
    <n v="10"/>
    <x v="2"/>
    <s v="No"/>
    <x v="1"/>
    <s v="Yes"/>
    <n v="20"/>
    <n v="12"/>
    <x v="10"/>
  </r>
  <r>
    <n v="3275"/>
    <x v="44"/>
    <x v="1"/>
    <d v="2024-04-10T00:00:00"/>
    <x v="1"/>
    <n v="5"/>
    <x v="0"/>
    <s v="No"/>
    <x v="1"/>
    <s v="No"/>
    <n v="0"/>
    <n v="2"/>
    <x v="11"/>
  </r>
  <r>
    <n v="3276"/>
    <x v="45"/>
    <x v="0"/>
    <d v="2024-04-11T00:00:00"/>
    <x v="0"/>
    <n v="15"/>
    <x v="1"/>
    <s v="Yes"/>
    <x v="0"/>
    <s v="Yes"/>
    <n v="20"/>
    <n v="5"/>
    <x v="0"/>
  </r>
  <r>
    <n v="3277"/>
    <x v="46"/>
    <x v="2"/>
    <d v="2024-04-12T00:00:00"/>
    <x v="1"/>
    <n v="10"/>
    <x v="0"/>
    <s v="No"/>
    <x v="1"/>
    <s v="Yes"/>
    <n v="20"/>
    <n v="10"/>
    <x v="2"/>
  </r>
  <r>
    <n v="3278"/>
    <x v="47"/>
    <x v="1"/>
    <d v="2024-04-13T00:00:00"/>
    <x v="0"/>
    <n v="5"/>
    <x v="2"/>
    <s v="No"/>
    <x v="1"/>
    <s v="No"/>
    <n v="0"/>
    <n v="0"/>
    <x v="1"/>
  </r>
  <r>
    <n v="3279"/>
    <x v="48"/>
    <x v="0"/>
    <d v="2024-04-14T00:00:00"/>
    <x v="1"/>
    <n v="15"/>
    <x v="0"/>
    <s v="Yes"/>
    <x v="0"/>
    <s v="Yes"/>
    <n v="20"/>
    <n v="3"/>
    <x v="3"/>
  </r>
  <r>
    <n v="3280"/>
    <x v="49"/>
    <x v="2"/>
    <d v="2024-04-15T00:00:00"/>
    <x v="0"/>
    <n v="10"/>
    <x v="1"/>
    <s v="No"/>
    <x v="1"/>
    <s v="Yes"/>
    <n v="20"/>
    <n v="15"/>
    <x v="7"/>
  </r>
  <r>
    <n v="3281"/>
    <x v="50"/>
    <x v="1"/>
    <d v="2024-04-16T00:00:00"/>
    <x v="1"/>
    <n v="5"/>
    <x v="0"/>
    <s v="No"/>
    <x v="1"/>
    <s v="No"/>
    <n v="0"/>
    <n v="1"/>
    <x v="4"/>
  </r>
  <r>
    <n v="3282"/>
    <x v="51"/>
    <x v="0"/>
    <d v="2024-04-17T00:00:00"/>
    <x v="0"/>
    <n v="15"/>
    <x v="2"/>
    <s v="Yes"/>
    <x v="0"/>
    <s v="Yes"/>
    <n v="20"/>
    <n v="7"/>
    <x v="12"/>
  </r>
  <r>
    <n v="3283"/>
    <x v="52"/>
    <x v="2"/>
    <d v="2024-04-18T00:00:00"/>
    <x v="1"/>
    <n v="10"/>
    <x v="0"/>
    <s v="No"/>
    <x v="1"/>
    <s v="Yes"/>
    <n v="20"/>
    <n v="10"/>
    <x v="2"/>
  </r>
  <r>
    <n v="3284"/>
    <x v="53"/>
    <x v="1"/>
    <d v="2024-04-19T00:00:00"/>
    <x v="0"/>
    <n v="5"/>
    <x v="1"/>
    <s v="No"/>
    <x v="1"/>
    <s v="No"/>
    <n v="0"/>
    <n v="0"/>
    <x v="1"/>
  </r>
  <r>
    <n v="3285"/>
    <x v="54"/>
    <x v="0"/>
    <d v="2024-04-20T00:00:00"/>
    <x v="1"/>
    <n v="15"/>
    <x v="0"/>
    <s v="Yes"/>
    <x v="0"/>
    <s v="Yes"/>
    <n v="20"/>
    <n v="20"/>
    <x v="8"/>
  </r>
  <r>
    <n v="3286"/>
    <x v="55"/>
    <x v="2"/>
    <d v="2024-04-21T00:00:00"/>
    <x v="0"/>
    <n v="10"/>
    <x v="2"/>
    <s v="No"/>
    <x v="1"/>
    <s v="Yes"/>
    <n v="20"/>
    <n v="15"/>
    <x v="7"/>
  </r>
  <r>
    <n v="3287"/>
    <x v="56"/>
    <x v="1"/>
    <d v="2024-04-22T00:00:00"/>
    <x v="1"/>
    <n v="5"/>
    <x v="0"/>
    <s v="No"/>
    <x v="1"/>
    <s v="No"/>
    <n v="0"/>
    <n v="1"/>
    <x v="4"/>
  </r>
  <r>
    <n v="3288"/>
    <x v="57"/>
    <x v="0"/>
    <d v="2024-04-23T00:00:00"/>
    <x v="0"/>
    <n v="15"/>
    <x v="1"/>
    <s v="Yes"/>
    <x v="0"/>
    <s v="Yes"/>
    <n v="20"/>
    <n v="3"/>
    <x v="3"/>
  </r>
  <r>
    <n v="3289"/>
    <x v="58"/>
    <x v="2"/>
    <d v="2024-04-24T00:00:00"/>
    <x v="1"/>
    <n v="10"/>
    <x v="0"/>
    <s v="No"/>
    <x v="1"/>
    <s v="Yes"/>
    <n v="20"/>
    <n v="10"/>
    <x v="2"/>
  </r>
  <r>
    <n v="3290"/>
    <x v="59"/>
    <x v="1"/>
    <d v="2024-04-25T00:00:00"/>
    <x v="0"/>
    <n v="5"/>
    <x v="2"/>
    <s v="No"/>
    <x v="1"/>
    <s v="No"/>
    <n v="0"/>
    <n v="0"/>
    <x v="1"/>
  </r>
  <r>
    <n v="3291"/>
    <x v="60"/>
    <x v="0"/>
    <d v="2024-04-26T00:00:00"/>
    <x v="1"/>
    <n v="15"/>
    <x v="0"/>
    <s v="Yes"/>
    <x v="0"/>
    <s v="Yes"/>
    <n v="20"/>
    <n v="5"/>
    <x v="0"/>
  </r>
  <r>
    <n v="3292"/>
    <x v="61"/>
    <x v="2"/>
    <d v="2024-04-27T00:00:00"/>
    <x v="0"/>
    <n v="10"/>
    <x v="1"/>
    <s v="No"/>
    <x v="1"/>
    <s v="Yes"/>
    <n v="20"/>
    <n v="15"/>
    <x v="7"/>
  </r>
  <r>
    <n v="3293"/>
    <x v="62"/>
    <x v="1"/>
    <d v="2024-04-28T00:00:00"/>
    <x v="1"/>
    <n v="5"/>
    <x v="0"/>
    <s v="No"/>
    <x v="1"/>
    <s v="No"/>
    <n v="0"/>
    <n v="1"/>
    <x v="4"/>
  </r>
  <r>
    <n v="3294"/>
    <x v="63"/>
    <x v="0"/>
    <d v="2024-04-29T00:00:00"/>
    <x v="0"/>
    <n v="15"/>
    <x v="2"/>
    <s v="Yes"/>
    <x v="0"/>
    <s v="Yes"/>
    <n v="20"/>
    <n v="20"/>
    <x v="8"/>
  </r>
  <r>
    <n v="3295"/>
    <x v="64"/>
    <x v="2"/>
    <d v="2024-04-30T00:00:00"/>
    <x v="1"/>
    <n v="10"/>
    <x v="0"/>
    <s v="No"/>
    <x v="1"/>
    <s v="Yes"/>
    <n v="20"/>
    <n v="5"/>
    <x v="13"/>
  </r>
  <r>
    <n v="3296"/>
    <x v="65"/>
    <x v="1"/>
    <d v="2024-05-01T00:00:00"/>
    <x v="1"/>
    <n v="5"/>
    <x v="0"/>
    <s v="No"/>
    <x v="1"/>
    <s v="No"/>
    <n v="0"/>
    <n v="0"/>
    <x v="1"/>
  </r>
  <r>
    <n v="3297"/>
    <x v="66"/>
    <x v="0"/>
    <d v="2024-05-02T00:00:00"/>
    <x v="0"/>
    <n v="15"/>
    <x v="2"/>
    <s v="Yes"/>
    <x v="0"/>
    <s v="Yes"/>
    <n v="20"/>
    <n v="7"/>
    <x v="12"/>
  </r>
  <r>
    <n v="3298"/>
    <x v="67"/>
    <x v="2"/>
    <d v="2024-05-03T00:00:00"/>
    <x v="1"/>
    <n v="10"/>
    <x v="1"/>
    <s v="No"/>
    <x v="1"/>
    <s v="Yes"/>
    <n v="20"/>
    <n v="10"/>
    <x v="2"/>
  </r>
  <r>
    <n v="3299"/>
    <x v="68"/>
    <x v="1"/>
    <d v="2024-05-04T00:00:00"/>
    <x v="0"/>
    <n v="5"/>
    <x v="2"/>
    <s v="No"/>
    <x v="1"/>
    <s v="No"/>
    <n v="0"/>
    <n v="1"/>
    <x v="4"/>
  </r>
  <r>
    <n v="3300"/>
    <x v="69"/>
    <x v="0"/>
    <d v="2024-05-05T00:00:00"/>
    <x v="1"/>
    <n v="15"/>
    <x v="0"/>
    <s v="Yes"/>
    <x v="0"/>
    <s v="Yes"/>
    <n v="20"/>
    <n v="15"/>
    <x v="14"/>
  </r>
  <r>
    <n v="3301"/>
    <x v="70"/>
    <x v="2"/>
    <d v="2024-05-06T00:00:00"/>
    <x v="0"/>
    <n v="10"/>
    <x v="0"/>
    <s v="No"/>
    <x v="1"/>
    <s v="Yes"/>
    <n v="20"/>
    <n v="5"/>
    <x v="13"/>
  </r>
  <r>
    <n v="3302"/>
    <x v="71"/>
    <x v="1"/>
    <d v="2024-05-07T00:00:00"/>
    <x v="1"/>
    <n v="5"/>
    <x v="1"/>
    <s v="No"/>
    <x v="1"/>
    <s v="No"/>
    <n v="0"/>
    <n v="0"/>
    <x v="1"/>
  </r>
  <r>
    <n v="3303"/>
    <x v="72"/>
    <x v="0"/>
    <d v="2024-05-08T00:00:00"/>
    <x v="0"/>
    <n v="15"/>
    <x v="2"/>
    <s v="Yes"/>
    <x v="0"/>
    <s v="Yes"/>
    <n v="20"/>
    <n v="20"/>
    <x v="8"/>
  </r>
  <r>
    <n v="3304"/>
    <x v="73"/>
    <x v="2"/>
    <d v="2024-05-09T00:00:00"/>
    <x v="1"/>
    <n v="10"/>
    <x v="2"/>
    <s v="No"/>
    <x v="1"/>
    <s v="Yes"/>
    <n v="20"/>
    <n v="12"/>
    <x v="10"/>
  </r>
  <r>
    <n v="3305"/>
    <x v="74"/>
    <x v="1"/>
    <d v="2024-05-10T00:00:00"/>
    <x v="0"/>
    <n v="5"/>
    <x v="0"/>
    <s v="No"/>
    <x v="1"/>
    <s v="No"/>
    <n v="0"/>
    <n v="2"/>
    <x v="11"/>
  </r>
  <r>
    <n v="3306"/>
    <x v="75"/>
    <x v="0"/>
    <d v="2024-05-11T00:00:00"/>
    <x v="1"/>
    <n v="15"/>
    <x v="1"/>
    <s v="Yes"/>
    <x v="0"/>
    <s v="Yes"/>
    <n v="20"/>
    <n v="5"/>
    <x v="0"/>
  </r>
  <r>
    <n v="3307"/>
    <x v="76"/>
    <x v="2"/>
    <d v="2024-05-12T00:00:00"/>
    <x v="0"/>
    <n v="10"/>
    <x v="0"/>
    <s v="No"/>
    <x v="1"/>
    <s v="Yes"/>
    <n v="20"/>
    <n v="10"/>
    <x v="2"/>
  </r>
  <r>
    <n v="3308"/>
    <x v="77"/>
    <x v="1"/>
    <d v="2024-05-13T00:00:00"/>
    <x v="1"/>
    <n v="5"/>
    <x v="2"/>
    <s v="No"/>
    <x v="1"/>
    <s v="No"/>
    <n v="0"/>
    <n v="0"/>
    <x v="1"/>
  </r>
  <r>
    <n v="3309"/>
    <x v="78"/>
    <x v="0"/>
    <d v="2024-05-14T00:00:00"/>
    <x v="0"/>
    <n v="15"/>
    <x v="0"/>
    <s v="Yes"/>
    <x v="0"/>
    <s v="Yes"/>
    <n v="20"/>
    <n v="3"/>
    <x v="3"/>
  </r>
  <r>
    <n v="3310"/>
    <x v="79"/>
    <x v="2"/>
    <d v="2024-05-15T00:00:00"/>
    <x v="1"/>
    <n v="10"/>
    <x v="1"/>
    <s v="No"/>
    <x v="1"/>
    <s v="Yes"/>
    <n v="20"/>
    <n v="15"/>
    <x v="7"/>
  </r>
  <r>
    <n v="3311"/>
    <x v="80"/>
    <x v="1"/>
    <d v="2024-05-16T00:00:00"/>
    <x v="0"/>
    <n v="5"/>
    <x v="0"/>
    <s v="No"/>
    <x v="1"/>
    <s v="No"/>
    <n v="0"/>
    <n v="1"/>
    <x v="4"/>
  </r>
  <r>
    <n v="3312"/>
    <x v="81"/>
    <x v="0"/>
    <d v="2024-05-17T00:00:00"/>
    <x v="1"/>
    <n v="15"/>
    <x v="2"/>
    <s v="Yes"/>
    <x v="0"/>
    <s v="Yes"/>
    <n v="20"/>
    <n v="7"/>
    <x v="12"/>
  </r>
  <r>
    <n v="3313"/>
    <x v="82"/>
    <x v="2"/>
    <d v="2024-05-18T00:00:00"/>
    <x v="0"/>
    <n v="10"/>
    <x v="0"/>
    <s v="No"/>
    <x v="1"/>
    <s v="Yes"/>
    <n v="20"/>
    <n v="10"/>
    <x v="2"/>
  </r>
  <r>
    <n v="3314"/>
    <x v="83"/>
    <x v="1"/>
    <d v="2024-05-19T00:00:00"/>
    <x v="1"/>
    <n v="5"/>
    <x v="1"/>
    <s v="No"/>
    <x v="1"/>
    <s v="No"/>
    <n v="0"/>
    <n v="0"/>
    <x v="1"/>
  </r>
  <r>
    <n v="3315"/>
    <x v="84"/>
    <x v="0"/>
    <d v="2024-05-20T00:00:00"/>
    <x v="0"/>
    <n v="15"/>
    <x v="0"/>
    <s v="Yes"/>
    <x v="0"/>
    <s v="Yes"/>
    <n v="20"/>
    <n v="20"/>
    <x v="8"/>
  </r>
  <r>
    <n v="3316"/>
    <x v="85"/>
    <x v="2"/>
    <d v="2024-05-21T00:00:00"/>
    <x v="1"/>
    <n v="10"/>
    <x v="2"/>
    <s v="No"/>
    <x v="1"/>
    <s v="Yes"/>
    <n v="20"/>
    <n v="15"/>
    <x v="7"/>
  </r>
  <r>
    <n v="3317"/>
    <x v="86"/>
    <x v="1"/>
    <d v="2024-05-22T00:00:00"/>
    <x v="0"/>
    <n v="5"/>
    <x v="0"/>
    <s v="No"/>
    <x v="1"/>
    <s v="No"/>
    <n v="0"/>
    <n v="1"/>
    <x v="4"/>
  </r>
  <r>
    <n v="3318"/>
    <x v="87"/>
    <x v="0"/>
    <d v="2024-05-23T00:00:00"/>
    <x v="1"/>
    <n v="15"/>
    <x v="1"/>
    <s v="Yes"/>
    <x v="0"/>
    <s v="Yes"/>
    <n v="20"/>
    <n v="3"/>
    <x v="3"/>
  </r>
  <r>
    <n v="3319"/>
    <x v="88"/>
    <x v="2"/>
    <d v="2024-05-24T00:00:00"/>
    <x v="0"/>
    <n v="10"/>
    <x v="0"/>
    <s v="No"/>
    <x v="1"/>
    <s v="Yes"/>
    <n v="20"/>
    <n v="10"/>
    <x v="2"/>
  </r>
  <r>
    <n v="3320"/>
    <x v="89"/>
    <x v="1"/>
    <d v="2024-05-25T00:00:00"/>
    <x v="1"/>
    <n v="5"/>
    <x v="2"/>
    <s v="No"/>
    <x v="1"/>
    <s v="No"/>
    <n v="0"/>
    <n v="0"/>
    <x v="1"/>
  </r>
  <r>
    <n v="3321"/>
    <x v="90"/>
    <x v="0"/>
    <d v="2024-05-26T00:00:00"/>
    <x v="0"/>
    <n v="15"/>
    <x v="0"/>
    <s v="Yes"/>
    <x v="0"/>
    <s v="Yes"/>
    <n v="20"/>
    <n v="5"/>
    <x v="0"/>
  </r>
  <r>
    <n v="3322"/>
    <x v="91"/>
    <x v="2"/>
    <d v="2024-05-27T00:00:00"/>
    <x v="1"/>
    <n v="10"/>
    <x v="1"/>
    <s v="No"/>
    <x v="1"/>
    <s v="Yes"/>
    <n v="20"/>
    <n v="15"/>
    <x v="7"/>
  </r>
  <r>
    <n v="3323"/>
    <x v="92"/>
    <x v="1"/>
    <d v="2024-05-28T00:00:00"/>
    <x v="0"/>
    <n v="5"/>
    <x v="0"/>
    <s v="No"/>
    <x v="1"/>
    <s v="No"/>
    <n v="0"/>
    <n v="1"/>
    <x v="4"/>
  </r>
  <r>
    <n v="3324"/>
    <x v="93"/>
    <x v="0"/>
    <d v="2024-05-29T00:00:00"/>
    <x v="1"/>
    <n v="15"/>
    <x v="2"/>
    <s v="Yes"/>
    <x v="0"/>
    <s v="Yes"/>
    <n v="20"/>
    <n v="20"/>
    <x v="8"/>
  </r>
  <r>
    <n v="3325"/>
    <x v="94"/>
    <x v="2"/>
    <d v="2024-05-30T00:00:00"/>
    <x v="0"/>
    <n v="10"/>
    <x v="2"/>
    <s v="No"/>
    <x v="1"/>
    <s v="Yes"/>
    <n v="20"/>
    <n v="15"/>
    <x v="7"/>
  </r>
  <r>
    <n v="3326"/>
    <x v="95"/>
    <x v="1"/>
    <d v="2024-05-31T00:00:00"/>
    <x v="1"/>
    <n v="5"/>
    <x v="1"/>
    <s v="No"/>
    <x v="1"/>
    <s v="No"/>
    <n v="0"/>
    <n v="0"/>
    <x v="1"/>
  </r>
  <r>
    <n v="3327"/>
    <x v="96"/>
    <x v="0"/>
    <d v="2024-06-01T00:00:00"/>
    <x v="0"/>
    <n v="15"/>
    <x v="0"/>
    <s v="Yes"/>
    <x v="0"/>
    <s v="Yes"/>
    <n v="20"/>
    <n v="7"/>
    <x v="12"/>
  </r>
  <r>
    <n v="3328"/>
    <x v="97"/>
    <x v="2"/>
    <d v="2024-06-02T00:00:00"/>
    <x v="1"/>
    <n v="10"/>
    <x v="1"/>
    <s v="No"/>
    <x v="1"/>
    <s v="Yes"/>
    <n v="20"/>
    <n v="10"/>
    <x v="2"/>
  </r>
  <r>
    <n v="3329"/>
    <x v="98"/>
    <x v="1"/>
    <d v="2024-06-03T00:00:00"/>
    <x v="0"/>
    <n v="5"/>
    <x v="2"/>
    <s v="No"/>
    <x v="1"/>
    <s v="No"/>
    <n v="0"/>
    <n v="1"/>
    <x v="4"/>
  </r>
  <r>
    <n v="3330"/>
    <x v="99"/>
    <x v="0"/>
    <d v="2024-06-04T00:00:00"/>
    <x v="1"/>
    <n v="15"/>
    <x v="0"/>
    <s v="Yes"/>
    <x v="0"/>
    <s v="Yes"/>
    <n v="20"/>
    <n v="15"/>
    <x v="14"/>
  </r>
  <r>
    <n v="3331"/>
    <x v="100"/>
    <x v="2"/>
    <d v="2024-06-05T00:00:00"/>
    <x v="0"/>
    <n v="10"/>
    <x v="0"/>
    <s v="No"/>
    <x v="1"/>
    <s v="Yes"/>
    <n v="20"/>
    <n v="5"/>
    <x v="13"/>
  </r>
  <r>
    <n v="3332"/>
    <x v="101"/>
    <x v="1"/>
    <d v="2024-06-06T00:00:00"/>
    <x v="1"/>
    <n v="5"/>
    <x v="1"/>
    <s v="No"/>
    <x v="1"/>
    <s v="No"/>
    <n v="0"/>
    <n v="0"/>
    <x v="1"/>
  </r>
  <r>
    <n v="3333"/>
    <x v="102"/>
    <x v="0"/>
    <d v="2024-06-07T00:00:00"/>
    <x v="0"/>
    <n v="15"/>
    <x v="2"/>
    <s v="Yes"/>
    <x v="0"/>
    <s v="Yes"/>
    <n v="20"/>
    <n v="20"/>
    <x v="8"/>
  </r>
  <r>
    <n v="3334"/>
    <x v="103"/>
    <x v="2"/>
    <d v="2024-06-08T00:00:00"/>
    <x v="1"/>
    <n v="10"/>
    <x v="2"/>
    <s v="No"/>
    <x v="1"/>
    <s v="Yes"/>
    <n v="20"/>
    <n v="12"/>
    <x v="10"/>
  </r>
  <r>
    <n v="3335"/>
    <x v="104"/>
    <x v="1"/>
    <d v="2024-06-09T00:00:00"/>
    <x v="0"/>
    <n v="5"/>
    <x v="0"/>
    <s v="No"/>
    <x v="1"/>
    <s v="No"/>
    <n v="0"/>
    <n v="2"/>
    <x v="11"/>
  </r>
  <r>
    <n v="3336"/>
    <x v="105"/>
    <x v="1"/>
    <d v="2024-06-10T00:00:00"/>
    <x v="0"/>
    <n v="5"/>
    <x v="0"/>
    <s v="No"/>
    <x v="1"/>
    <s v="No"/>
    <n v="0"/>
    <n v="0"/>
    <x v="1"/>
  </r>
  <r>
    <n v="3337"/>
    <x v="106"/>
    <x v="0"/>
    <d v="2024-06-11T00:00:00"/>
    <x v="1"/>
    <n v="15"/>
    <x v="2"/>
    <s v="Yes"/>
    <x v="0"/>
    <s v="Yes"/>
    <n v="20"/>
    <n v="7"/>
    <x v="12"/>
  </r>
  <r>
    <n v="3338"/>
    <x v="107"/>
    <x v="2"/>
    <d v="2024-06-12T00:00:00"/>
    <x v="0"/>
    <n v="10"/>
    <x v="1"/>
    <s v="No"/>
    <x v="1"/>
    <s v="Yes"/>
    <n v="20"/>
    <n v="10"/>
    <x v="2"/>
  </r>
  <r>
    <n v="3339"/>
    <x v="108"/>
    <x v="1"/>
    <d v="2024-06-13T00:00:00"/>
    <x v="1"/>
    <n v="5"/>
    <x v="2"/>
    <s v="No"/>
    <x v="1"/>
    <s v="No"/>
    <n v="0"/>
    <n v="1"/>
    <x v="4"/>
  </r>
  <r>
    <n v="3340"/>
    <x v="109"/>
    <x v="0"/>
    <d v="2024-06-14T00:00:00"/>
    <x v="0"/>
    <n v="15"/>
    <x v="0"/>
    <s v="Yes"/>
    <x v="0"/>
    <s v="Yes"/>
    <n v="20"/>
    <n v="15"/>
    <x v="14"/>
  </r>
  <r>
    <n v="3341"/>
    <x v="110"/>
    <x v="2"/>
    <d v="2024-06-15T00:00:00"/>
    <x v="1"/>
    <n v="10"/>
    <x v="0"/>
    <s v="No"/>
    <x v="1"/>
    <s v="Yes"/>
    <n v="20"/>
    <n v="5"/>
    <x v="13"/>
  </r>
  <r>
    <n v="3342"/>
    <x v="111"/>
    <x v="1"/>
    <d v="2024-06-16T00:00:00"/>
    <x v="0"/>
    <n v="5"/>
    <x v="1"/>
    <s v="No"/>
    <x v="1"/>
    <s v="No"/>
    <n v="0"/>
    <n v="0"/>
    <x v="1"/>
  </r>
  <r>
    <n v="3343"/>
    <x v="112"/>
    <x v="0"/>
    <d v="2024-06-17T00:00:00"/>
    <x v="1"/>
    <n v="15"/>
    <x v="2"/>
    <s v="Yes"/>
    <x v="0"/>
    <s v="Yes"/>
    <n v="20"/>
    <n v="20"/>
    <x v="8"/>
  </r>
  <r>
    <n v="3344"/>
    <x v="113"/>
    <x v="2"/>
    <d v="2024-06-18T00:00:00"/>
    <x v="0"/>
    <n v="10"/>
    <x v="2"/>
    <s v="No"/>
    <x v="1"/>
    <s v="Yes"/>
    <n v="20"/>
    <n v="12"/>
    <x v="10"/>
  </r>
  <r>
    <n v="3345"/>
    <x v="114"/>
    <x v="1"/>
    <d v="2024-06-19T00:00:00"/>
    <x v="1"/>
    <n v="5"/>
    <x v="0"/>
    <s v="No"/>
    <x v="1"/>
    <s v="No"/>
    <n v="0"/>
    <n v="2"/>
    <x v="11"/>
  </r>
  <r>
    <n v="3346"/>
    <x v="115"/>
    <x v="0"/>
    <d v="2024-06-20T00:00:00"/>
    <x v="0"/>
    <n v="15"/>
    <x v="1"/>
    <s v="Yes"/>
    <x v="0"/>
    <s v="Yes"/>
    <n v="20"/>
    <n v="5"/>
    <x v="0"/>
  </r>
  <r>
    <n v="3347"/>
    <x v="116"/>
    <x v="2"/>
    <d v="2024-06-21T00:00:00"/>
    <x v="1"/>
    <n v="10"/>
    <x v="0"/>
    <s v="No"/>
    <x v="1"/>
    <s v="Yes"/>
    <n v="20"/>
    <n v="10"/>
    <x v="2"/>
  </r>
  <r>
    <n v="3348"/>
    <x v="117"/>
    <x v="1"/>
    <d v="2024-06-22T00:00:00"/>
    <x v="0"/>
    <n v="5"/>
    <x v="2"/>
    <s v="No"/>
    <x v="1"/>
    <s v="No"/>
    <n v="0"/>
    <n v="0"/>
    <x v="1"/>
  </r>
  <r>
    <n v="3349"/>
    <x v="93"/>
    <x v="0"/>
    <d v="2024-06-23T00:00:00"/>
    <x v="1"/>
    <n v="15"/>
    <x v="0"/>
    <s v="Yes"/>
    <x v="0"/>
    <s v="Yes"/>
    <n v="20"/>
    <n v="3"/>
    <x v="3"/>
  </r>
  <r>
    <n v="3350"/>
    <x v="118"/>
    <x v="2"/>
    <d v="2024-06-24T00:00:00"/>
    <x v="0"/>
    <n v="10"/>
    <x v="1"/>
    <s v="No"/>
    <x v="1"/>
    <s v="Yes"/>
    <n v="20"/>
    <n v="15"/>
    <x v="7"/>
  </r>
  <r>
    <n v="3351"/>
    <x v="119"/>
    <x v="1"/>
    <d v="2024-06-25T00:00:00"/>
    <x v="1"/>
    <n v="5"/>
    <x v="0"/>
    <s v="No"/>
    <x v="1"/>
    <s v="No"/>
    <n v="0"/>
    <n v="1"/>
    <x v="4"/>
  </r>
  <r>
    <n v="3352"/>
    <x v="120"/>
    <x v="0"/>
    <d v="2024-06-26T00:00:00"/>
    <x v="0"/>
    <n v="15"/>
    <x v="2"/>
    <s v="Yes"/>
    <x v="0"/>
    <s v="Yes"/>
    <n v="20"/>
    <n v="7"/>
    <x v="12"/>
  </r>
  <r>
    <n v="3353"/>
    <x v="121"/>
    <x v="2"/>
    <d v="2024-06-27T00:00:00"/>
    <x v="1"/>
    <n v="10"/>
    <x v="0"/>
    <s v="No"/>
    <x v="1"/>
    <s v="Yes"/>
    <n v="20"/>
    <n v="10"/>
    <x v="2"/>
  </r>
  <r>
    <n v="3354"/>
    <x v="122"/>
    <x v="1"/>
    <d v="2024-06-28T00:00:00"/>
    <x v="0"/>
    <n v="5"/>
    <x v="1"/>
    <s v="No"/>
    <x v="1"/>
    <s v="No"/>
    <n v="0"/>
    <n v="0"/>
    <x v="1"/>
  </r>
  <r>
    <n v="3355"/>
    <x v="123"/>
    <x v="0"/>
    <d v="2024-06-29T00:00:00"/>
    <x v="1"/>
    <n v="15"/>
    <x v="0"/>
    <s v="Yes"/>
    <x v="0"/>
    <s v="Yes"/>
    <n v="20"/>
    <n v="20"/>
    <x v="8"/>
  </r>
  <r>
    <n v="3356"/>
    <x v="124"/>
    <x v="2"/>
    <d v="2024-06-30T00:00:00"/>
    <x v="0"/>
    <n v="10"/>
    <x v="2"/>
    <s v="No"/>
    <x v="1"/>
    <s v="Yes"/>
    <n v="20"/>
    <n v="15"/>
    <x v="7"/>
  </r>
  <r>
    <n v="3357"/>
    <x v="125"/>
    <x v="1"/>
    <d v="2024-07-01T00:00:00"/>
    <x v="1"/>
    <n v="5"/>
    <x v="0"/>
    <s v="No"/>
    <x v="1"/>
    <s v="No"/>
    <n v="0"/>
    <n v="1"/>
    <x v="4"/>
  </r>
  <r>
    <n v="3358"/>
    <x v="126"/>
    <x v="0"/>
    <d v="2024-07-02T00:00:00"/>
    <x v="0"/>
    <n v="15"/>
    <x v="1"/>
    <s v="Yes"/>
    <x v="0"/>
    <s v="Yes"/>
    <n v="20"/>
    <n v="3"/>
    <x v="3"/>
  </r>
  <r>
    <n v="3359"/>
    <x v="127"/>
    <x v="2"/>
    <d v="2024-07-03T00:00:00"/>
    <x v="1"/>
    <n v="10"/>
    <x v="0"/>
    <s v="No"/>
    <x v="1"/>
    <s v="Yes"/>
    <n v="20"/>
    <n v="10"/>
    <x v="2"/>
  </r>
  <r>
    <n v="3360"/>
    <x v="128"/>
    <x v="1"/>
    <d v="2024-07-04T00:00:00"/>
    <x v="0"/>
    <n v="5"/>
    <x v="2"/>
    <s v="No"/>
    <x v="1"/>
    <s v="No"/>
    <n v="0"/>
    <n v="0"/>
    <x v="1"/>
  </r>
  <r>
    <n v="3361"/>
    <x v="129"/>
    <x v="0"/>
    <d v="2024-07-05T00:00:00"/>
    <x v="1"/>
    <n v="15"/>
    <x v="0"/>
    <s v="Yes"/>
    <x v="0"/>
    <s v="Yes"/>
    <n v="20"/>
    <n v="15"/>
    <x v="14"/>
  </r>
  <r>
    <n v="3362"/>
    <x v="130"/>
    <x v="2"/>
    <d v="2024-07-06T00:00:00"/>
    <x v="0"/>
    <n v="10"/>
    <x v="1"/>
    <s v="No"/>
    <x v="1"/>
    <s v="Yes"/>
    <n v="20"/>
    <n v="15"/>
    <x v="7"/>
  </r>
  <r>
    <n v="3363"/>
    <x v="131"/>
    <x v="1"/>
    <d v="2024-07-07T00:00:00"/>
    <x v="1"/>
    <n v="5"/>
    <x v="0"/>
    <s v="No"/>
    <x v="1"/>
    <s v="No"/>
    <n v="0"/>
    <n v="1"/>
    <x v="4"/>
  </r>
  <r>
    <n v="3364"/>
    <x v="132"/>
    <x v="0"/>
    <d v="2024-07-08T00:00:00"/>
    <x v="0"/>
    <n v="15"/>
    <x v="2"/>
    <s v="Yes"/>
    <x v="0"/>
    <s v="Yes"/>
    <n v="20"/>
    <n v="7"/>
    <x v="12"/>
  </r>
  <r>
    <n v="3365"/>
    <x v="133"/>
    <x v="2"/>
    <d v="2024-07-09T00:00:00"/>
    <x v="1"/>
    <n v="10"/>
    <x v="0"/>
    <s v="No"/>
    <x v="1"/>
    <s v="Yes"/>
    <n v="20"/>
    <n v="10"/>
    <x v="2"/>
  </r>
  <r>
    <n v="3366"/>
    <x v="134"/>
    <x v="1"/>
    <d v="2024-07-10T00:00:00"/>
    <x v="0"/>
    <n v="5"/>
    <x v="0"/>
    <s v="No"/>
    <x v="1"/>
    <s v="No"/>
    <n v="0"/>
    <n v="0"/>
    <x v="1"/>
  </r>
  <r>
    <n v="3367"/>
    <x v="135"/>
    <x v="0"/>
    <d v="2024-07-11T00:00:00"/>
    <x v="1"/>
    <n v="15"/>
    <x v="2"/>
    <s v="Yes"/>
    <x v="0"/>
    <s v="Yes"/>
    <n v="20"/>
    <n v="7"/>
    <x v="12"/>
  </r>
  <r>
    <n v="3368"/>
    <x v="136"/>
    <x v="2"/>
    <d v="2024-07-12T00:00:00"/>
    <x v="0"/>
    <n v="10"/>
    <x v="1"/>
    <s v="No"/>
    <x v="1"/>
    <s v="Yes"/>
    <n v="20"/>
    <n v="10"/>
    <x v="2"/>
  </r>
  <r>
    <n v="3369"/>
    <x v="137"/>
    <x v="1"/>
    <d v="2024-07-13T00:00:00"/>
    <x v="1"/>
    <n v="5"/>
    <x v="2"/>
    <s v="No"/>
    <x v="1"/>
    <s v="No"/>
    <n v="0"/>
    <n v="1"/>
    <x v="4"/>
  </r>
  <r>
    <n v="3370"/>
    <x v="138"/>
    <x v="0"/>
    <d v="2024-07-14T00:00:00"/>
    <x v="0"/>
    <n v="15"/>
    <x v="0"/>
    <s v="Yes"/>
    <x v="0"/>
    <s v="Yes"/>
    <n v="20"/>
    <n v="15"/>
    <x v="14"/>
  </r>
  <r>
    <n v="3371"/>
    <x v="139"/>
    <x v="2"/>
    <d v="2024-07-15T00:00:00"/>
    <x v="1"/>
    <n v="10"/>
    <x v="0"/>
    <s v="No"/>
    <x v="1"/>
    <s v="Yes"/>
    <n v="20"/>
    <n v="5"/>
    <x v="13"/>
  </r>
  <r>
    <n v="3372"/>
    <x v="140"/>
    <x v="1"/>
    <d v="2024-07-16T00:00:00"/>
    <x v="0"/>
    <n v="5"/>
    <x v="1"/>
    <s v="No"/>
    <x v="1"/>
    <s v="No"/>
    <n v="0"/>
    <n v="0"/>
    <x v="1"/>
  </r>
  <r>
    <n v="3373"/>
    <x v="141"/>
    <x v="0"/>
    <d v="2024-07-17T00:00:00"/>
    <x v="1"/>
    <n v="15"/>
    <x v="2"/>
    <s v="Yes"/>
    <x v="0"/>
    <s v="Yes"/>
    <n v="20"/>
    <n v="20"/>
    <x v="8"/>
  </r>
  <r>
    <n v="3374"/>
    <x v="142"/>
    <x v="2"/>
    <d v="2024-07-18T00:00:00"/>
    <x v="0"/>
    <n v="10"/>
    <x v="2"/>
    <s v="No"/>
    <x v="1"/>
    <s v="Yes"/>
    <n v="20"/>
    <n v="12"/>
    <x v="10"/>
  </r>
  <r>
    <n v="3375"/>
    <x v="143"/>
    <x v="1"/>
    <d v="2024-07-19T00:00:00"/>
    <x v="1"/>
    <n v="5"/>
    <x v="0"/>
    <s v="No"/>
    <x v="1"/>
    <s v="No"/>
    <n v="0"/>
    <n v="2"/>
    <x v="11"/>
  </r>
  <r>
    <n v="3376"/>
    <x v="144"/>
    <x v="0"/>
    <d v="2024-07-20T00:00:00"/>
    <x v="0"/>
    <n v="15"/>
    <x v="1"/>
    <s v="Yes"/>
    <x v="0"/>
    <s v="Yes"/>
    <n v="20"/>
    <n v="5"/>
    <x v="0"/>
  </r>
  <r>
    <n v="3377"/>
    <x v="145"/>
    <x v="2"/>
    <d v="2024-07-21T00:00:00"/>
    <x v="1"/>
    <n v="10"/>
    <x v="0"/>
    <s v="No"/>
    <x v="1"/>
    <s v="Yes"/>
    <n v="20"/>
    <n v="10"/>
    <x v="2"/>
  </r>
  <r>
    <n v="3378"/>
    <x v="146"/>
    <x v="1"/>
    <d v="2024-07-22T00:00:00"/>
    <x v="0"/>
    <n v="5"/>
    <x v="2"/>
    <s v="No"/>
    <x v="1"/>
    <s v="No"/>
    <n v="0"/>
    <n v="0"/>
    <x v="1"/>
  </r>
  <r>
    <n v="3379"/>
    <x v="147"/>
    <x v="0"/>
    <d v="2024-07-23T00:00:00"/>
    <x v="1"/>
    <n v="15"/>
    <x v="0"/>
    <s v="Yes"/>
    <x v="0"/>
    <s v="Yes"/>
    <n v="20"/>
    <n v="3"/>
    <x v="3"/>
  </r>
  <r>
    <n v="3380"/>
    <x v="148"/>
    <x v="2"/>
    <d v="2024-07-24T00:00:00"/>
    <x v="0"/>
    <n v="10"/>
    <x v="1"/>
    <s v="No"/>
    <x v="1"/>
    <s v="Yes"/>
    <n v="20"/>
    <n v="15"/>
    <x v="7"/>
  </r>
  <r>
    <n v="3381"/>
    <x v="149"/>
    <x v="1"/>
    <d v="2024-07-25T00:00:00"/>
    <x v="1"/>
    <n v="5"/>
    <x v="0"/>
    <s v="No"/>
    <x v="1"/>
    <s v="No"/>
    <n v="0"/>
    <n v="1"/>
    <x v="4"/>
  </r>
  <r>
    <n v="3382"/>
    <x v="150"/>
    <x v="0"/>
    <d v="2024-07-26T00:00:00"/>
    <x v="0"/>
    <n v="15"/>
    <x v="2"/>
    <s v="Yes"/>
    <x v="0"/>
    <s v="Yes"/>
    <n v="20"/>
    <n v="7"/>
    <x v="12"/>
  </r>
  <r>
    <n v="3383"/>
    <x v="151"/>
    <x v="2"/>
    <d v="2024-07-27T00:00:00"/>
    <x v="1"/>
    <n v="10"/>
    <x v="0"/>
    <s v="No"/>
    <x v="1"/>
    <s v="Yes"/>
    <n v="20"/>
    <n v="10"/>
    <x v="2"/>
  </r>
  <r>
    <n v="3384"/>
    <x v="152"/>
    <x v="1"/>
    <d v="2024-07-28T00:00:00"/>
    <x v="0"/>
    <n v="5"/>
    <x v="1"/>
    <s v="No"/>
    <x v="1"/>
    <s v="No"/>
    <n v="0"/>
    <n v="0"/>
    <x v="1"/>
  </r>
  <r>
    <n v="3385"/>
    <x v="153"/>
    <x v="0"/>
    <d v="2024-07-29T00:00:00"/>
    <x v="1"/>
    <n v="15"/>
    <x v="0"/>
    <s v="Yes"/>
    <x v="0"/>
    <s v="Yes"/>
    <n v="20"/>
    <n v="20"/>
    <x v="8"/>
  </r>
  <r>
    <n v="3386"/>
    <x v="154"/>
    <x v="2"/>
    <d v="2024-07-30T00:00:00"/>
    <x v="0"/>
    <n v="10"/>
    <x v="2"/>
    <s v="No"/>
    <x v="1"/>
    <s v="Yes"/>
    <n v="20"/>
    <n v="15"/>
    <x v="7"/>
  </r>
  <r>
    <n v="3387"/>
    <x v="155"/>
    <x v="1"/>
    <d v="2024-07-31T00:00:00"/>
    <x v="1"/>
    <n v="5"/>
    <x v="0"/>
    <s v="No"/>
    <x v="1"/>
    <s v="No"/>
    <n v="0"/>
    <n v="1"/>
    <x v="4"/>
  </r>
  <r>
    <n v="3388"/>
    <x v="156"/>
    <x v="0"/>
    <d v="2024-08-01T00:00:00"/>
    <x v="0"/>
    <n v="15"/>
    <x v="1"/>
    <s v="Yes"/>
    <x v="0"/>
    <s v="Yes"/>
    <n v="20"/>
    <n v="3"/>
    <x v="3"/>
  </r>
  <r>
    <n v="3389"/>
    <x v="157"/>
    <x v="2"/>
    <d v="2024-08-02T00:00:00"/>
    <x v="1"/>
    <n v="10"/>
    <x v="0"/>
    <s v="No"/>
    <x v="1"/>
    <s v="Yes"/>
    <n v="20"/>
    <n v="10"/>
    <x v="2"/>
  </r>
  <r>
    <n v="3390"/>
    <x v="158"/>
    <x v="1"/>
    <d v="2024-08-03T00:00:00"/>
    <x v="0"/>
    <n v="5"/>
    <x v="2"/>
    <s v="No"/>
    <x v="1"/>
    <s v="No"/>
    <n v="0"/>
    <n v="0"/>
    <x v="1"/>
  </r>
  <r>
    <n v="3391"/>
    <x v="58"/>
    <x v="0"/>
    <d v="2024-08-04T00:00:00"/>
    <x v="1"/>
    <n v="15"/>
    <x v="0"/>
    <s v="Yes"/>
    <x v="0"/>
    <s v="Yes"/>
    <n v="20"/>
    <n v="15"/>
    <x v="14"/>
  </r>
  <r>
    <n v="3392"/>
    <x v="159"/>
    <x v="2"/>
    <d v="2024-08-05T00:00:00"/>
    <x v="0"/>
    <n v="10"/>
    <x v="1"/>
    <s v="No"/>
    <x v="1"/>
    <s v="Yes"/>
    <n v="20"/>
    <n v="15"/>
    <x v="7"/>
  </r>
  <r>
    <n v="3393"/>
    <x v="160"/>
    <x v="1"/>
    <d v="2024-08-06T00:00:00"/>
    <x v="1"/>
    <n v="5"/>
    <x v="0"/>
    <s v="No"/>
    <x v="1"/>
    <s v="No"/>
    <n v="0"/>
    <n v="1"/>
    <x v="4"/>
  </r>
  <r>
    <n v="3394"/>
    <x v="161"/>
    <x v="0"/>
    <d v="2024-08-07T00:00:00"/>
    <x v="0"/>
    <n v="15"/>
    <x v="2"/>
    <s v="Yes"/>
    <x v="0"/>
    <s v="Yes"/>
    <n v="20"/>
    <n v="7"/>
    <x v="12"/>
  </r>
  <r>
    <n v="3395"/>
    <x v="162"/>
    <x v="2"/>
    <d v="2024-08-08T00:00:00"/>
    <x v="1"/>
    <n v="10"/>
    <x v="0"/>
    <s v="No"/>
    <x v="1"/>
    <s v="Yes"/>
    <n v="20"/>
    <n v="10"/>
    <x v="2"/>
  </r>
  <r>
    <n v="3396"/>
    <x v="163"/>
    <x v="1"/>
    <d v="2024-08-09T00:00:00"/>
    <x v="0"/>
    <n v="5"/>
    <x v="1"/>
    <s v="No"/>
    <x v="1"/>
    <s v="No"/>
    <n v="0"/>
    <n v="0"/>
    <x v="1"/>
  </r>
  <r>
    <n v="3397"/>
    <x v="90"/>
    <x v="0"/>
    <d v="2024-08-10T00:00:00"/>
    <x v="1"/>
    <n v="15"/>
    <x v="0"/>
    <s v="Yes"/>
    <x v="0"/>
    <s v="Yes"/>
    <n v="20"/>
    <n v="20"/>
    <x v="8"/>
  </r>
  <r>
    <n v="3398"/>
    <x v="164"/>
    <x v="2"/>
    <d v="2024-08-11T00:00:00"/>
    <x v="0"/>
    <n v="10"/>
    <x v="2"/>
    <s v="No"/>
    <x v="1"/>
    <s v="Yes"/>
    <n v="20"/>
    <n v="15"/>
    <x v="7"/>
  </r>
  <r>
    <n v="3399"/>
    <x v="165"/>
    <x v="1"/>
    <d v="2024-08-12T00:00:00"/>
    <x v="1"/>
    <n v="5"/>
    <x v="0"/>
    <s v="No"/>
    <x v="1"/>
    <s v="No"/>
    <n v="0"/>
    <n v="1"/>
    <x v="4"/>
  </r>
  <r>
    <n v="3400"/>
    <x v="166"/>
    <x v="0"/>
    <d v="2024-08-13T00:00:00"/>
    <x v="0"/>
    <n v="15"/>
    <x v="1"/>
    <s v="Yes"/>
    <x v="0"/>
    <s v="Yes"/>
    <n v="20"/>
    <n v="5"/>
    <x v="0"/>
  </r>
  <r>
    <n v="3401"/>
    <x v="167"/>
    <x v="2"/>
    <d v="2024-08-14T00:00:00"/>
    <x v="1"/>
    <n v="10"/>
    <x v="0"/>
    <s v="No"/>
    <x v="1"/>
    <s v="Yes"/>
    <n v="20"/>
    <n v="10"/>
    <x v="2"/>
  </r>
  <r>
    <n v="3402"/>
    <x v="168"/>
    <x v="1"/>
    <d v="2024-08-15T00:00:00"/>
    <x v="0"/>
    <n v="5"/>
    <x v="2"/>
    <s v="No"/>
    <x v="1"/>
    <s v="No"/>
    <n v="0"/>
    <n v="0"/>
    <x v="1"/>
  </r>
  <r>
    <n v="3403"/>
    <x v="169"/>
    <x v="0"/>
    <d v="2024-08-16T00:00:00"/>
    <x v="1"/>
    <n v="15"/>
    <x v="0"/>
    <s v="Yes"/>
    <x v="0"/>
    <s v="Yes"/>
    <n v="20"/>
    <n v="3"/>
    <x v="3"/>
  </r>
  <r>
    <n v="3404"/>
    <x v="170"/>
    <x v="2"/>
    <d v="2024-08-17T00:00:00"/>
    <x v="0"/>
    <n v="10"/>
    <x v="1"/>
    <s v="No"/>
    <x v="1"/>
    <s v="Yes"/>
    <n v="20"/>
    <n v="15"/>
    <x v="7"/>
  </r>
  <r>
    <n v="3405"/>
    <x v="171"/>
    <x v="1"/>
    <d v="2024-08-18T00:00:00"/>
    <x v="1"/>
    <n v="5"/>
    <x v="0"/>
    <s v="No"/>
    <x v="1"/>
    <s v="No"/>
    <n v="0"/>
    <n v="1"/>
    <x v="4"/>
  </r>
  <r>
    <n v="3406"/>
    <x v="172"/>
    <x v="1"/>
    <d v="2024-08-19T00:00:00"/>
    <x v="0"/>
    <n v="5"/>
    <x v="0"/>
    <s v="No"/>
    <x v="1"/>
    <s v="No"/>
    <n v="0"/>
    <n v="0"/>
    <x v="1"/>
  </r>
  <r>
    <n v="3407"/>
    <x v="173"/>
    <x v="0"/>
    <d v="2024-08-20T00:00:00"/>
    <x v="1"/>
    <n v="15"/>
    <x v="2"/>
    <s v="Yes"/>
    <x v="0"/>
    <s v="Yes"/>
    <n v="20"/>
    <n v="7"/>
    <x v="12"/>
  </r>
  <r>
    <n v="3408"/>
    <x v="174"/>
    <x v="2"/>
    <d v="2024-08-21T00:00:00"/>
    <x v="0"/>
    <n v="10"/>
    <x v="1"/>
    <s v="No"/>
    <x v="1"/>
    <s v="Yes"/>
    <n v="20"/>
    <n v="10"/>
    <x v="2"/>
  </r>
  <r>
    <n v="3409"/>
    <x v="175"/>
    <x v="1"/>
    <d v="2024-08-22T00:00:00"/>
    <x v="1"/>
    <n v="5"/>
    <x v="2"/>
    <s v="No"/>
    <x v="1"/>
    <s v="No"/>
    <n v="0"/>
    <n v="1"/>
    <x v="4"/>
  </r>
  <r>
    <n v="3410"/>
    <x v="176"/>
    <x v="0"/>
    <d v="2024-08-23T00:00:00"/>
    <x v="0"/>
    <n v="15"/>
    <x v="0"/>
    <s v="Yes"/>
    <x v="0"/>
    <s v="Yes"/>
    <n v="20"/>
    <n v="15"/>
    <x v="14"/>
  </r>
  <r>
    <n v="3411"/>
    <x v="177"/>
    <x v="2"/>
    <d v="2024-08-24T00:00:00"/>
    <x v="1"/>
    <n v="10"/>
    <x v="0"/>
    <s v="No"/>
    <x v="1"/>
    <s v="Yes"/>
    <n v="20"/>
    <n v="5"/>
    <x v="13"/>
  </r>
  <r>
    <n v="3412"/>
    <x v="178"/>
    <x v="1"/>
    <d v="2024-08-25T00:00:00"/>
    <x v="0"/>
    <n v="5"/>
    <x v="1"/>
    <s v="No"/>
    <x v="1"/>
    <s v="No"/>
    <n v="0"/>
    <n v="0"/>
    <x v="1"/>
  </r>
  <r>
    <n v="3413"/>
    <x v="179"/>
    <x v="0"/>
    <d v="2024-08-26T00:00:00"/>
    <x v="1"/>
    <n v="15"/>
    <x v="2"/>
    <s v="Yes"/>
    <x v="0"/>
    <s v="Yes"/>
    <n v="20"/>
    <n v="20"/>
    <x v="8"/>
  </r>
  <r>
    <n v="3414"/>
    <x v="180"/>
    <x v="2"/>
    <d v="2024-08-27T00:00:00"/>
    <x v="0"/>
    <n v="10"/>
    <x v="2"/>
    <s v="No"/>
    <x v="1"/>
    <s v="Yes"/>
    <n v="20"/>
    <n v="12"/>
    <x v="10"/>
  </r>
  <r>
    <n v="3415"/>
    <x v="181"/>
    <x v="1"/>
    <d v="2024-08-28T00:00:00"/>
    <x v="1"/>
    <n v="5"/>
    <x v="0"/>
    <s v="No"/>
    <x v="1"/>
    <s v="No"/>
    <n v="0"/>
    <n v="2"/>
    <x v="11"/>
  </r>
  <r>
    <n v="3416"/>
    <x v="182"/>
    <x v="0"/>
    <d v="2024-08-29T00:00:00"/>
    <x v="0"/>
    <n v="15"/>
    <x v="1"/>
    <s v="Yes"/>
    <x v="0"/>
    <s v="Yes"/>
    <n v="20"/>
    <n v="5"/>
    <x v="0"/>
  </r>
  <r>
    <n v="3417"/>
    <x v="183"/>
    <x v="2"/>
    <d v="2024-08-30T00:00:00"/>
    <x v="1"/>
    <n v="10"/>
    <x v="0"/>
    <s v="No"/>
    <x v="1"/>
    <s v="Yes"/>
    <n v="20"/>
    <n v="10"/>
    <x v="2"/>
  </r>
  <r>
    <n v="3418"/>
    <x v="184"/>
    <x v="1"/>
    <d v="2024-08-31T00:00:00"/>
    <x v="0"/>
    <n v="5"/>
    <x v="2"/>
    <s v="No"/>
    <x v="1"/>
    <s v="No"/>
    <n v="0"/>
    <n v="0"/>
    <x v="1"/>
  </r>
  <r>
    <n v="3419"/>
    <x v="185"/>
    <x v="0"/>
    <d v="2024-09-01T00:00:00"/>
    <x v="1"/>
    <n v="15"/>
    <x v="0"/>
    <s v="Yes"/>
    <x v="0"/>
    <s v="Yes"/>
    <n v="20"/>
    <n v="3"/>
    <x v="3"/>
  </r>
  <r>
    <n v="3420"/>
    <x v="186"/>
    <x v="2"/>
    <d v="2024-09-02T00:00:00"/>
    <x v="0"/>
    <n v="10"/>
    <x v="1"/>
    <s v="No"/>
    <x v="1"/>
    <s v="Yes"/>
    <n v="20"/>
    <n v="15"/>
    <x v="7"/>
  </r>
  <r>
    <n v="3421"/>
    <x v="15"/>
    <x v="1"/>
    <d v="2024-09-03T00:00:00"/>
    <x v="1"/>
    <n v="5"/>
    <x v="0"/>
    <s v="No"/>
    <x v="1"/>
    <s v="No"/>
    <n v="0"/>
    <n v="1"/>
    <x v="4"/>
  </r>
  <r>
    <n v="3422"/>
    <x v="187"/>
    <x v="0"/>
    <d v="2024-09-04T00:00:00"/>
    <x v="0"/>
    <n v="15"/>
    <x v="2"/>
    <s v="Yes"/>
    <x v="0"/>
    <s v="Yes"/>
    <n v="20"/>
    <n v="7"/>
    <x v="12"/>
  </r>
  <r>
    <n v="3423"/>
    <x v="188"/>
    <x v="2"/>
    <d v="2024-09-05T00:00:00"/>
    <x v="1"/>
    <n v="10"/>
    <x v="0"/>
    <s v="No"/>
    <x v="1"/>
    <s v="Yes"/>
    <n v="20"/>
    <n v="10"/>
    <x v="2"/>
  </r>
  <r>
    <n v="3424"/>
    <x v="14"/>
    <x v="1"/>
    <d v="2024-09-06T00:00:00"/>
    <x v="0"/>
    <n v="5"/>
    <x v="1"/>
    <s v="No"/>
    <x v="1"/>
    <s v="No"/>
    <n v="0"/>
    <n v="0"/>
    <x v="1"/>
  </r>
  <r>
    <n v="3425"/>
    <x v="189"/>
    <x v="0"/>
    <d v="2024-09-07T00:00:00"/>
    <x v="1"/>
    <n v="15"/>
    <x v="0"/>
    <s v="Yes"/>
    <x v="0"/>
    <s v="Yes"/>
    <n v="20"/>
    <n v="20"/>
    <x v="8"/>
  </r>
  <r>
    <n v="3426"/>
    <x v="167"/>
    <x v="2"/>
    <d v="2024-09-08T00:00:00"/>
    <x v="0"/>
    <n v="10"/>
    <x v="2"/>
    <s v="No"/>
    <x v="1"/>
    <s v="Yes"/>
    <n v="20"/>
    <n v="15"/>
    <x v="7"/>
  </r>
  <r>
    <n v="3427"/>
    <x v="190"/>
    <x v="1"/>
    <d v="2024-09-09T00:00:00"/>
    <x v="1"/>
    <n v="5"/>
    <x v="0"/>
    <s v="No"/>
    <x v="1"/>
    <s v="No"/>
    <n v="0"/>
    <n v="1"/>
    <x v="4"/>
  </r>
  <r>
    <n v="3428"/>
    <x v="191"/>
    <x v="0"/>
    <d v="2024-09-10T00:00:00"/>
    <x v="0"/>
    <n v="15"/>
    <x v="1"/>
    <s v="Yes"/>
    <x v="0"/>
    <s v="Yes"/>
    <n v="20"/>
    <n v="3"/>
    <x v="3"/>
  </r>
  <r>
    <n v="3429"/>
    <x v="192"/>
    <x v="2"/>
    <d v="2024-09-11T00:00:00"/>
    <x v="1"/>
    <n v="10"/>
    <x v="0"/>
    <s v="No"/>
    <x v="1"/>
    <s v="Yes"/>
    <n v="20"/>
    <n v="10"/>
    <x v="2"/>
  </r>
  <r>
    <n v="3430"/>
    <x v="193"/>
    <x v="1"/>
    <d v="2024-09-12T00:00:00"/>
    <x v="0"/>
    <n v="5"/>
    <x v="2"/>
    <s v="No"/>
    <x v="1"/>
    <s v="No"/>
    <n v="0"/>
    <n v="0"/>
    <x v="1"/>
  </r>
  <r>
    <n v="3431"/>
    <x v="194"/>
    <x v="0"/>
    <d v="2024-09-13T00:00:00"/>
    <x v="1"/>
    <n v="15"/>
    <x v="0"/>
    <s v="Yes"/>
    <x v="0"/>
    <s v="Yes"/>
    <n v="20"/>
    <n v="15"/>
    <x v="14"/>
  </r>
  <r>
    <n v="3432"/>
    <x v="195"/>
    <x v="2"/>
    <d v="2024-09-14T00:00:00"/>
    <x v="0"/>
    <n v="10"/>
    <x v="1"/>
    <s v="No"/>
    <x v="1"/>
    <s v="Yes"/>
    <n v="20"/>
    <n v="15"/>
    <x v="7"/>
  </r>
  <r>
    <n v="3433"/>
    <x v="196"/>
    <x v="1"/>
    <d v="2024-09-15T00:00:00"/>
    <x v="1"/>
    <n v="5"/>
    <x v="0"/>
    <s v="No"/>
    <x v="1"/>
    <s v="No"/>
    <n v="0"/>
    <n v="1"/>
    <x v="4"/>
  </r>
  <r>
    <n v="3434"/>
    <x v="197"/>
    <x v="0"/>
    <d v="2024-09-16T00:00:00"/>
    <x v="0"/>
    <n v="15"/>
    <x v="2"/>
    <s v="Yes"/>
    <x v="0"/>
    <s v="Yes"/>
    <n v="20"/>
    <n v="7"/>
    <x v="12"/>
  </r>
  <r>
    <n v="3435"/>
    <x v="198"/>
    <x v="2"/>
    <d v="2024-09-17T00:00:00"/>
    <x v="1"/>
    <n v="10"/>
    <x v="0"/>
    <s v="No"/>
    <x v="1"/>
    <s v="Yes"/>
    <n v="20"/>
    <n v="10"/>
    <x v="2"/>
  </r>
  <r>
    <n v="3436"/>
    <x v="199"/>
    <x v="1"/>
    <d v="2024-09-18T00:00:00"/>
    <x v="0"/>
    <n v="5"/>
    <x v="0"/>
    <s v="No"/>
    <x v="1"/>
    <s v="No"/>
    <n v="0"/>
    <n v="0"/>
    <x v="1"/>
  </r>
  <r>
    <n v="3437"/>
    <x v="200"/>
    <x v="0"/>
    <d v="2024-09-19T00:00:00"/>
    <x v="1"/>
    <n v="15"/>
    <x v="2"/>
    <s v="Yes"/>
    <x v="0"/>
    <s v="Yes"/>
    <n v="20"/>
    <n v="7"/>
    <x v="12"/>
  </r>
  <r>
    <n v="3438"/>
    <x v="201"/>
    <x v="2"/>
    <d v="2024-09-20T00:00:00"/>
    <x v="0"/>
    <n v="10"/>
    <x v="1"/>
    <s v="No"/>
    <x v="1"/>
    <s v="Yes"/>
    <n v="20"/>
    <n v="10"/>
    <x v="2"/>
  </r>
  <r>
    <n v="3439"/>
    <x v="202"/>
    <x v="1"/>
    <d v="2024-09-21T00:00:00"/>
    <x v="1"/>
    <n v="5"/>
    <x v="2"/>
    <s v="No"/>
    <x v="1"/>
    <s v="No"/>
    <n v="0"/>
    <n v="1"/>
    <x v="4"/>
  </r>
  <r>
    <n v="3440"/>
    <x v="203"/>
    <x v="0"/>
    <d v="2024-09-22T00:00:00"/>
    <x v="0"/>
    <n v="15"/>
    <x v="0"/>
    <s v="Yes"/>
    <x v="0"/>
    <s v="Yes"/>
    <n v="20"/>
    <n v="15"/>
    <x v="14"/>
  </r>
  <r>
    <n v="3441"/>
    <x v="204"/>
    <x v="2"/>
    <d v="2024-09-23T00:00:00"/>
    <x v="1"/>
    <n v="10"/>
    <x v="0"/>
    <s v="No"/>
    <x v="1"/>
    <s v="Yes"/>
    <n v="20"/>
    <n v="5"/>
    <x v="13"/>
  </r>
  <r>
    <n v="3442"/>
    <x v="205"/>
    <x v="1"/>
    <d v="2024-09-24T00:00:00"/>
    <x v="0"/>
    <n v="5"/>
    <x v="1"/>
    <s v="No"/>
    <x v="1"/>
    <s v="No"/>
    <n v="0"/>
    <n v="0"/>
    <x v="1"/>
  </r>
  <r>
    <n v="3443"/>
    <x v="206"/>
    <x v="0"/>
    <d v="2024-09-25T00:00:00"/>
    <x v="1"/>
    <n v="15"/>
    <x v="2"/>
    <s v="Yes"/>
    <x v="0"/>
    <s v="Yes"/>
    <n v="20"/>
    <n v="20"/>
    <x v="8"/>
  </r>
  <r>
    <n v="3444"/>
    <x v="207"/>
    <x v="2"/>
    <d v="2024-09-26T00:00:00"/>
    <x v="0"/>
    <n v="10"/>
    <x v="2"/>
    <s v="No"/>
    <x v="1"/>
    <s v="Yes"/>
    <n v="20"/>
    <n v="12"/>
    <x v="10"/>
  </r>
  <r>
    <n v="3445"/>
    <x v="37"/>
    <x v="1"/>
    <d v="2024-09-27T00:00:00"/>
    <x v="1"/>
    <n v="5"/>
    <x v="0"/>
    <s v="No"/>
    <x v="1"/>
    <s v="No"/>
    <n v="0"/>
    <n v="2"/>
    <x v="11"/>
  </r>
  <r>
    <n v="3446"/>
    <x v="208"/>
    <x v="0"/>
    <d v="2024-09-28T00:00:00"/>
    <x v="0"/>
    <n v="15"/>
    <x v="1"/>
    <s v="Yes"/>
    <x v="0"/>
    <s v="Yes"/>
    <n v="20"/>
    <n v="5"/>
    <x v="0"/>
  </r>
  <r>
    <n v="3447"/>
    <x v="209"/>
    <x v="2"/>
    <d v="2024-09-29T00:00:00"/>
    <x v="1"/>
    <n v="10"/>
    <x v="0"/>
    <s v="No"/>
    <x v="1"/>
    <s v="Yes"/>
    <n v="20"/>
    <n v="10"/>
    <x v="2"/>
  </r>
  <r>
    <n v="3448"/>
    <x v="210"/>
    <x v="1"/>
    <d v="2024-09-30T00:00:00"/>
    <x v="0"/>
    <n v="5"/>
    <x v="2"/>
    <s v="No"/>
    <x v="1"/>
    <s v="No"/>
    <n v="0"/>
    <n v="0"/>
    <x v="1"/>
  </r>
  <r>
    <n v="3449"/>
    <x v="211"/>
    <x v="0"/>
    <d v="2024-10-01T00:00:00"/>
    <x v="1"/>
    <n v="15"/>
    <x v="0"/>
    <s v="Yes"/>
    <x v="0"/>
    <s v="Yes"/>
    <n v="20"/>
    <n v="3"/>
    <x v="3"/>
  </r>
  <r>
    <n v="3450"/>
    <x v="212"/>
    <x v="2"/>
    <d v="2024-10-02T00:00:00"/>
    <x v="0"/>
    <n v="10"/>
    <x v="1"/>
    <s v="No"/>
    <x v="1"/>
    <s v="Yes"/>
    <n v="20"/>
    <n v="15"/>
    <x v="7"/>
  </r>
  <r>
    <n v="3451"/>
    <x v="213"/>
    <x v="1"/>
    <d v="2024-10-03T00:00:00"/>
    <x v="1"/>
    <n v="5"/>
    <x v="0"/>
    <s v="No"/>
    <x v="1"/>
    <s v="No"/>
    <n v="0"/>
    <n v="1"/>
    <x v="4"/>
  </r>
  <r>
    <n v="3452"/>
    <x v="191"/>
    <x v="0"/>
    <d v="2024-10-04T00:00:00"/>
    <x v="0"/>
    <n v="15"/>
    <x v="2"/>
    <s v="Yes"/>
    <x v="0"/>
    <s v="Yes"/>
    <n v="20"/>
    <n v="7"/>
    <x v="12"/>
  </r>
  <r>
    <n v="3453"/>
    <x v="45"/>
    <x v="2"/>
    <d v="2024-10-05T00:00:00"/>
    <x v="1"/>
    <n v="10"/>
    <x v="0"/>
    <s v="No"/>
    <x v="1"/>
    <s v="Yes"/>
    <n v="20"/>
    <n v="10"/>
    <x v="2"/>
  </r>
  <r>
    <n v="3454"/>
    <x v="214"/>
    <x v="1"/>
    <d v="2024-10-06T00:00:00"/>
    <x v="0"/>
    <n v="5"/>
    <x v="1"/>
    <s v="No"/>
    <x v="1"/>
    <s v="No"/>
    <n v="0"/>
    <n v="0"/>
    <x v="1"/>
  </r>
  <r>
    <n v="3455"/>
    <x v="215"/>
    <x v="0"/>
    <d v="2024-10-07T00:00:00"/>
    <x v="1"/>
    <n v="15"/>
    <x v="0"/>
    <s v="Yes"/>
    <x v="0"/>
    <s v="Yes"/>
    <n v="20"/>
    <n v="20"/>
    <x v="8"/>
  </r>
  <r>
    <n v="3456"/>
    <x v="216"/>
    <x v="2"/>
    <d v="2024-10-08T00:00:00"/>
    <x v="0"/>
    <n v="10"/>
    <x v="2"/>
    <s v="No"/>
    <x v="1"/>
    <s v="Yes"/>
    <n v="20"/>
    <n v="15"/>
    <x v="7"/>
  </r>
  <r>
    <n v="3457"/>
    <x v="217"/>
    <x v="1"/>
    <d v="2024-10-09T00:00:00"/>
    <x v="1"/>
    <n v="5"/>
    <x v="0"/>
    <s v="No"/>
    <x v="1"/>
    <s v="No"/>
    <n v="0"/>
    <n v="1"/>
    <x v="4"/>
  </r>
  <r>
    <n v="3458"/>
    <x v="218"/>
    <x v="0"/>
    <d v="2024-10-10T00:00:00"/>
    <x v="0"/>
    <n v="15"/>
    <x v="1"/>
    <s v="Yes"/>
    <x v="0"/>
    <s v="Yes"/>
    <n v="20"/>
    <n v="3"/>
    <x v="3"/>
  </r>
  <r>
    <n v="3459"/>
    <x v="219"/>
    <x v="2"/>
    <d v="2024-10-11T00:00:00"/>
    <x v="1"/>
    <n v="10"/>
    <x v="0"/>
    <s v="No"/>
    <x v="1"/>
    <s v="Yes"/>
    <n v="20"/>
    <n v="10"/>
    <x v="2"/>
  </r>
  <r>
    <n v="3460"/>
    <x v="127"/>
    <x v="1"/>
    <d v="2024-10-12T00:00:00"/>
    <x v="0"/>
    <n v="5"/>
    <x v="2"/>
    <s v="No"/>
    <x v="1"/>
    <s v="No"/>
    <n v="0"/>
    <n v="0"/>
    <x v="1"/>
  </r>
  <r>
    <n v="3461"/>
    <x v="220"/>
    <x v="0"/>
    <d v="2024-10-13T00:00:00"/>
    <x v="1"/>
    <n v="15"/>
    <x v="0"/>
    <s v="Yes"/>
    <x v="0"/>
    <s v="Yes"/>
    <n v="20"/>
    <n v="15"/>
    <x v="14"/>
  </r>
  <r>
    <n v="3462"/>
    <x v="221"/>
    <x v="2"/>
    <d v="2024-10-14T00:00:00"/>
    <x v="0"/>
    <n v="10"/>
    <x v="1"/>
    <s v="No"/>
    <x v="1"/>
    <s v="Yes"/>
    <n v="20"/>
    <n v="15"/>
    <x v="7"/>
  </r>
  <r>
    <n v="3463"/>
    <x v="222"/>
    <x v="1"/>
    <d v="2024-10-15T00:00:00"/>
    <x v="1"/>
    <n v="5"/>
    <x v="0"/>
    <s v="No"/>
    <x v="1"/>
    <s v="No"/>
    <n v="0"/>
    <n v="1"/>
    <x v="4"/>
  </r>
  <r>
    <n v="3464"/>
    <x v="223"/>
    <x v="0"/>
    <d v="2024-10-16T00:00:00"/>
    <x v="0"/>
    <n v="15"/>
    <x v="2"/>
    <s v="Yes"/>
    <x v="0"/>
    <s v="Yes"/>
    <n v="20"/>
    <n v="7"/>
    <x v="12"/>
  </r>
  <r>
    <n v="3465"/>
    <x v="224"/>
    <x v="2"/>
    <d v="2024-10-17T00:00:00"/>
    <x v="1"/>
    <n v="10"/>
    <x v="0"/>
    <s v="No"/>
    <x v="1"/>
    <s v="Yes"/>
    <n v="20"/>
    <n v="10"/>
    <x v="2"/>
  </r>
  <r>
    <n v="3466"/>
    <x v="225"/>
    <x v="1"/>
    <d v="2024-10-18T00:00:00"/>
    <x v="0"/>
    <n v="5"/>
    <x v="1"/>
    <s v="No"/>
    <x v="1"/>
    <s v="No"/>
    <n v="0"/>
    <n v="0"/>
    <x v="1"/>
  </r>
  <r>
    <n v="3467"/>
    <x v="226"/>
    <x v="0"/>
    <d v="2024-10-19T00:00:00"/>
    <x v="1"/>
    <n v="15"/>
    <x v="0"/>
    <s v="Yes"/>
    <x v="0"/>
    <s v="Yes"/>
    <n v="20"/>
    <n v="15"/>
    <x v="14"/>
  </r>
  <r>
    <n v="3468"/>
    <x v="227"/>
    <x v="2"/>
    <d v="2024-10-20T00:00:00"/>
    <x v="0"/>
    <n v="10"/>
    <x v="2"/>
    <s v="No"/>
    <x v="1"/>
    <s v="Yes"/>
    <n v="20"/>
    <n v="12"/>
    <x v="10"/>
  </r>
  <r>
    <n v="3469"/>
    <x v="228"/>
    <x v="1"/>
    <d v="2024-10-21T00:00:00"/>
    <x v="1"/>
    <n v="5"/>
    <x v="0"/>
    <s v="No"/>
    <x v="1"/>
    <s v="No"/>
    <n v="0"/>
    <n v="2"/>
    <x v="11"/>
  </r>
  <r>
    <n v="3470"/>
    <x v="229"/>
    <x v="0"/>
    <d v="2024-10-22T00:00:00"/>
    <x v="0"/>
    <n v="15"/>
    <x v="1"/>
    <s v="Yes"/>
    <x v="0"/>
    <s v="Yes"/>
    <n v="20"/>
    <n v="5"/>
    <x v="0"/>
  </r>
  <r>
    <n v="3471"/>
    <x v="230"/>
    <x v="2"/>
    <d v="2024-10-23T00:00:00"/>
    <x v="1"/>
    <n v="10"/>
    <x v="0"/>
    <s v="No"/>
    <x v="1"/>
    <s v="Yes"/>
    <n v="20"/>
    <n v="10"/>
    <x v="2"/>
  </r>
  <r>
    <n v="3472"/>
    <x v="231"/>
    <x v="1"/>
    <d v="2024-10-24T00:00:00"/>
    <x v="0"/>
    <n v="5"/>
    <x v="2"/>
    <s v="No"/>
    <x v="1"/>
    <s v="No"/>
    <n v="0"/>
    <n v="0"/>
    <x v="1"/>
  </r>
  <r>
    <n v="3473"/>
    <x v="140"/>
    <x v="0"/>
    <d v="2024-10-25T00:00:00"/>
    <x v="1"/>
    <n v="15"/>
    <x v="0"/>
    <s v="Yes"/>
    <x v="0"/>
    <s v="Yes"/>
    <n v="20"/>
    <n v="3"/>
    <x v="3"/>
  </r>
  <r>
    <n v="3474"/>
    <x v="232"/>
    <x v="2"/>
    <d v="2024-10-26T00:00:00"/>
    <x v="0"/>
    <n v="10"/>
    <x v="1"/>
    <s v="No"/>
    <x v="1"/>
    <s v="Yes"/>
    <n v="20"/>
    <n v="15"/>
    <x v="7"/>
  </r>
  <r>
    <n v="3475"/>
    <x v="233"/>
    <x v="1"/>
    <d v="2024-10-27T00:00:00"/>
    <x v="1"/>
    <n v="5"/>
    <x v="0"/>
    <s v="No"/>
    <x v="1"/>
    <s v="No"/>
    <n v="0"/>
    <n v="1"/>
    <x v="4"/>
  </r>
  <r>
    <n v="3476"/>
    <x v="234"/>
    <x v="0"/>
    <d v="2024-10-28T00:00:00"/>
    <x v="0"/>
    <n v="15"/>
    <x v="2"/>
    <s v="Yes"/>
    <x v="0"/>
    <s v="Yes"/>
    <n v="20"/>
    <n v="7"/>
    <x v="12"/>
  </r>
  <r>
    <n v="3477"/>
    <x v="235"/>
    <x v="2"/>
    <d v="2024-10-29T00:00:00"/>
    <x v="1"/>
    <n v="10"/>
    <x v="0"/>
    <s v="No"/>
    <x v="1"/>
    <s v="Yes"/>
    <n v="20"/>
    <n v="10"/>
    <x v="2"/>
  </r>
  <r>
    <n v="3478"/>
    <x v="236"/>
    <x v="1"/>
    <d v="2024-10-30T00:00:00"/>
    <x v="0"/>
    <n v="5"/>
    <x v="1"/>
    <s v="No"/>
    <x v="1"/>
    <s v="No"/>
    <n v="0"/>
    <n v="0"/>
    <x v="1"/>
  </r>
  <r>
    <n v="3479"/>
    <x v="237"/>
    <x v="0"/>
    <d v="2024-10-31T00:00:00"/>
    <x v="1"/>
    <n v="15"/>
    <x v="0"/>
    <s v="Yes"/>
    <x v="0"/>
    <s v="Yes"/>
    <n v="20"/>
    <n v="20"/>
    <x v="8"/>
  </r>
  <r>
    <n v="3480"/>
    <x v="238"/>
    <x v="2"/>
    <d v="2024-11-01T00:00:00"/>
    <x v="0"/>
    <n v="10"/>
    <x v="2"/>
    <s v="No"/>
    <x v="1"/>
    <s v="Yes"/>
    <n v="20"/>
    <n v="15"/>
    <x v="7"/>
  </r>
  <r>
    <n v="3481"/>
    <x v="239"/>
    <x v="1"/>
    <d v="2024-11-02T00:00:00"/>
    <x v="1"/>
    <n v="5"/>
    <x v="0"/>
    <s v="No"/>
    <x v="1"/>
    <s v="No"/>
    <n v="0"/>
    <n v="1"/>
    <x v="4"/>
  </r>
  <r>
    <n v="3482"/>
    <x v="240"/>
    <x v="0"/>
    <d v="2024-11-03T00:00:00"/>
    <x v="0"/>
    <n v="15"/>
    <x v="1"/>
    <s v="Yes"/>
    <x v="0"/>
    <s v="Yes"/>
    <n v="20"/>
    <n v="3"/>
    <x v="3"/>
  </r>
  <r>
    <n v="3483"/>
    <x v="241"/>
    <x v="2"/>
    <d v="2024-11-04T00:00:00"/>
    <x v="1"/>
    <n v="10"/>
    <x v="0"/>
    <s v="No"/>
    <x v="1"/>
    <s v="Yes"/>
    <n v="20"/>
    <n v="10"/>
    <x v="2"/>
  </r>
  <r>
    <n v="3484"/>
    <x v="242"/>
    <x v="1"/>
    <d v="2024-11-05T00:00:00"/>
    <x v="0"/>
    <n v="5"/>
    <x v="2"/>
    <s v="No"/>
    <x v="1"/>
    <s v="No"/>
    <n v="0"/>
    <n v="0"/>
    <x v="1"/>
  </r>
  <r>
    <n v="3485"/>
    <x v="243"/>
    <x v="0"/>
    <d v="2024-11-06T00:00:00"/>
    <x v="1"/>
    <n v="15"/>
    <x v="0"/>
    <s v="Yes"/>
    <x v="0"/>
    <s v="Yes"/>
    <n v="20"/>
    <n v="15"/>
    <x v="14"/>
  </r>
  <r>
    <n v="3486"/>
    <x v="244"/>
    <x v="1"/>
    <d v="2024-11-07T00:00:00"/>
    <x v="0"/>
    <n v="5"/>
    <x v="0"/>
    <s v="No"/>
    <x v="1"/>
    <s v="No"/>
    <n v="0"/>
    <n v="0"/>
    <x v="1"/>
  </r>
  <r>
    <n v="3487"/>
    <x v="245"/>
    <x v="0"/>
    <d v="2024-11-08T00:00:00"/>
    <x v="1"/>
    <n v="15"/>
    <x v="2"/>
    <s v="Yes"/>
    <x v="0"/>
    <s v="Yes"/>
    <n v="20"/>
    <n v="7"/>
    <x v="12"/>
  </r>
  <r>
    <n v="3488"/>
    <x v="246"/>
    <x v="2"/>
    <d v="2024-11-09T00:00:00"/>
    <x v="0"/>
    <n v="10"/>
    <x v="1"/>
    <s v="No"/>
    <x v="1"/>
    <s v="Yes"/>
    <n v="20"/>
    <n v="10"/>
    <x v="2"/>
  </r>
  <r>
    <n v="3489"/>
    <x v="247"/>
    <x v="1"/>
    <d v="2024-11-10T00:00:00"/>
    <x v="1"/>
    <n v="5"/>
    <x v="2"/>
    <s v="No"/>
    <x v="1"/>
    <s v="No"/>
    <n v="0"/>
    <n v="1"/>
    <x v="4"/>
  </r>
  <r>
    <n v="3490"/>
    <x v="248"/>
    <x v="0"/>
    <d v="2024-11-11T00:00:00"/>
    <x v="0"/>
    <n v="15"/>
    <x v="0"/>
    <s v="Yes"/>
    <x v="0"/>
    <s v="Yes"/>
    <n v="20"/>
    <n v="15"/>
    <x v="14"/>
  </r>
  <r>
    <n v="3491"/>
    <x v="249"/>
    <x v="2"/>
    <d v="2024-11-12T00:00:00"/>
    <x v="1"/>
    <n v="10"/>
    <x v="0"/>
    <s v="No"/>
    <x v="1"/>
    <s v="Yes"/>
    <n v="20"/>
    <n v="5"/>
    <x v="13"/>
  </r>
  <r>
    <n v="3492"/>
    <x v="250"/>
    <x v="1"/>
    <d v="2024-11-13T00:00:00"/>
    <x v="0"/>
    <n v="5"/>
    <x v="1"/>
    <s v="No"/>
    <x v="1"/>
    <s v="No"/>
    <n v="0"/>
    <n v="0"/>
    <x v="1"/>
  </r>
  <r>
    <n v="3493"/>
    <x v="251"/>
    <x v="0"/>
    <d v="2024-11-14T00:00:00"/>
    <x v="1"/>
    <n v="15"/>
    <x v="2"/>
    <s v="Yes"/>
    <x v="0"/>
    <s v="Yes"/>
    <n v="20"/>
    <n v="20"/>
    <x v="8"/>
  </r>
  <r>
    <n v="3494"/>
    <x v="252"/>
    <x v="2"/>
    <d v="2024-11-15T00:00:00"/>
    <x v="0"/>
    <n v="10"/>
    <x v="2"/>
    <s v="No"/>
    <x v="1"/>
    <s v="Yes"/>
    <n v="20"/>
    <n v="12"/>
    <x v="10"/>
  </r>
  <r>
    <n v="3495"/>
    <x v="253"/>
    <x v="1"/>
    <d v="2024-11-16T00:00:00"/>
    <x v="1"/>
    <n v="5"/>
    <x v="0"/>
    <s v="No"/>
    <x v="1"/>
    <s v="No"/>
    <n v="0"/>
    <n v="2"/>
    <x v="11"/>
  </r>
  <r>
    <n v="3496"/>
    <x v="254"/>
    <x v="0"/>
    <d v="2024-11-17T00:00:00"/>
    <x v="0"/>
    <n v="15"/>
    <x v="1"/>
    <s v="Yes"/>
    <x v="0"/>
    <s v="Yes"/>
    <n v="20"/>
    <n v="5"/>
    <x v="0"/>
  </r>
  <r>
    <n v="3497"/>
    <x v="255"/>
    <x v="2"/>
    <d v="2024-11-18T00:00:00"/>
    <x v="1"/>
    <n v="10"/>
    <x v="0"/>
    <s v="No"/>
    <x v="1"/>
    <s v="Yes"/>
    <n v="20"/>
    <n v="10"/>
    <x v="2"/>
  </r>
  <r>
    <n v="3498"/>
    <x v="256"/>
    <x v="1"/>
    <d v="2024-11-19T00:00:00"/>
    <x v="0"/>
    <n v="5"/>
    <x v="2"/>
    <s v="No"/>
    <x v="1"/>
    <s v="No"/>
    <n v="0"/>
    <n v="0"/>
    <x v="1"/>
  </r>
  <r>
    <n v="3499"/>
    <x v="257"/>
    <x v="0"/>
    <d v="2024-11-20T00:00:00"/>
    <x v="1"/>
    <n v="15"/>
    <x v="0"/>
    <s v="Yes"/>
    <x v="0"/>
    <s v="Yes"/>
    <n v="20"/>
    <n v="3"/>
    <x v="3"/>
  </r>
  <r>
    <n v="3500"/>
    <x v="258"/>
    <x v="2"/>
    <d v="2024-11-21T00:00:00"/>
    <x v="0"/>
    <n v="10"/>
    <x v="1"/>
    <s v="No"/>
    <x v="1"/>
    <s v="Yes"/>
    <n v="20"/>
    <n v="15"/>
    <x v="7"/>
  </r>
  <r>
    <n v="3501"/>
    <x v="259"/>
    <x v="1"/>
    <d v="2024-11-22T00:00:00"/>
    <x v="1"/>
    <n v="5"/>
    <x v="0"/>
    <s v="No"/>
    <x v="1"/>
    <s v="No"/>
    <n v="0"/>
    <n v="1"/>
    <x v="4"/>
  </r>
  <r>
    <n v="3502"/>
    <x v="260"/>
    <x v="0"/>
    <d v="2024-11-23T00:00:00"/>
    <x v="0"/>
    <n v="15"/>
    <x v="2"/>
    <s v="Yes"/>
    <x v="0"/>
    <s v="Yes"/>
    <n v="20"/>
    <n v="7"/>
    <x v="12"/>
  </r>
  <r>
    <n v="3503"/>
    <x v="119"/>
    <x v="2"/>
    <d v="2024-11-24T00:00:00"/>
    <x v="1"/>
    <n v="10"/>
    <x v="0"/>
    <s v="No"/>
    <x v="1"/>
    <s v="Yes"/>
    <n v="20"/>
    <n v="10"/>
    <x v="2"/>
  </r>
  <r>
    <n v="3504"/>
    <x v="261"/>
    <x v="1"/>
    <d v="2024-11-25T00:00:00"/>
    <x v="0"/>
    <n v="5"/>
    <x v="1"/>
    <s v="No"/>
    <x v="1"/>
    <s v="No"/>
    <n v="0"/>
    <n v="0"/>
    <x v="1"/>
  </r>
  <r>
    <n v="3505"/>
    <x v="262"/>
    <x v="0"/>
    <d v="2024-11-26T00:00:00"/>
    <x v="1"/>
    <n v="15"/>
    <x v="0"/>
    <s v="Yes"/>
    <x v="0"/>
    <s v="Yes"/>
    <n v="20"/>
    <n v="20"/>
    <x v="8"/>
  </r>
  <r>
    <n v="3506"/>
    <x v="263"/>
    <x v="2"/>
    <d v="2024-11-27T00:00:00"/>
    <x v="0"/>
    <n v="10"/>
    <x v="2"/>
    <s v="No"/>
    <x v="1"/>
    <s v="Yes"/>
    <n v="20"/>
    <n v="15"/>
    <x v="7"/>
  </r>
  <r>
    <n v="3507"/>
    <x v="264"/>
    <x v="1"/>
    <d v="2024-11-28T00:00:00"/>
    <x v="1"/>
    <n v="5"/>
    <x v="0"/>
    <s v="No"/>
    <x v="1"/>
    <s v="No"/>
    <n v="0"/>
    <n v="1"/>
    <x v="4"/>
  </r>
  <r>
    <n v="3508"/>
    <x v="265"/>
    <x v="0"/>
    <d v="2024-11-29T00:00:00"/>
    <x v="0"/>
    <n v="15"/>
    <x v="1"/>
    <s v="Yes"/>
    <x v="0"/>
    <s v="Yes"/>
    <n v="20"/>
    <n v="3"/>
    <x v="3"/>
  </r>
  <r>
    <n v="3509"/>
    <x v="266"/>
    <x v="2"/>
    <d v="2024-11-30T00:00:00"/>
    <x v="1"/>
    <n v="10"/>
    <x v="0"/>
    <s v="No"/>
    <x v="1"/>
    <s v="Yes"/>
    <n v="20"/>
    <n v="10"/>
    <x v="2"/>
  </r>
  <r>
    <n v="3510"/>
    <x v="267"/>
    <x v="1"/>
    <d v="2024-12-01T00:00:00"/>
    <x v="0"/>
    <n v="5"/>
    <x v="2"/>
    <s v="No"/>
    <x v="1"/>
    <s v="No"/>
    <n v="0"/>
    <n v="0"/>
    <x v="1"/>
  </r>
  <r>
    <n v="3511"/>
    <x v="268"/>
    <x v="0"/>
    <d v="2024-12-02T00:00:00"/>
    <x v="1"/>
    <n v="15"/>
    <x v="0"/>
    <s v="Yes"/>
    <x v="0"/>
    <s v="Yes"/>
    <n v="20"/>
    <n v="15"/>
    <x v="14"/>
  </r>
  <r>
    <n v="3512"/>
    <x v="269"/>
    <x v="2"/>
    <d v="2024-12-03T00:00:00"/>
    <x v="0"/>
    <n v="10"/>
    <x v="1"/>
    <s v="No"/>
    <x v="1"/>
    <s v="Yes"/>
    <n v="20"/>
    <n v="15"/>
    <x v="7"/>
  </r>
  <r>
    <n v="3513"/>
    <x v="270"/>
    <x v="1"/>
    <d v="2024-12-04T00:00:00"/>
    <x v="1"/>
    <n v="5"/>
    <x v="0"/>
    <s v="No"/>
    <x v="1"/>
    <s v="No"/>
    <n v="0"/>
    <n v="1"/>
    <x v="4"/>
  </r>
  <r>
    <n v="3514"/>
    <x v="271"/>
    <x v="0"/>
    <d v="2024-12-05T00:00:00"/>
    <x v="0"/>
    <n v="15"/>
    <x v="2"/>
    <s v="Yes"/>
    <x v="0"/>
    <s v="Yes"/>
    <n v="20"/>
    <n v="7"/>
    <x v="12"/>
  </r>
  <r>
    <n v="3515"/>
    <x v="130"/>
    <x v="2"/>
    <d v="2024-12-06T00:00:00"/>
    <x v="1"/>
    <n v="10"/>
    <x v="0"/>
    <s v="No"/>
    <x v="1"/>
    <s v="Yes"/>
    <n v="20"/>
    <n v="10"/>
    <x v="2"/>
  </r>
  <r>
    <n v="3516"/>
    <x v="131"/>
    <x v="1"/>
    <d v="2024-12-07T00:00:00"/>
    <x v="0"/>
    <n v="5"/>
    <x v="1"/>
    <s v="No"/>
    <x v="1"/>
    <s v="No"/>
    <n v="0"/>
    <n v="0"/>
    <x v="1"/>
  </r>
  <r>
    <n v="3517"/>
    <x v="181"/>
    <x v="0"/>
    <d v="2024-12-08T00:00:00"/>
    <x v="1"/>
    <n v="15"/>
    <x v="0"/>
    <s v="Yes"/>
    <x v="0"/>
    <s v="Yes"/>
    <n v="20"/>
    <n v="20"/>
    <x v="8"/>
  </r>
  <r>
    <n v="3518"/>
    <x v="272"/>
    <x v="2"/>
    <d v="2024-12-09T00:00:00"/>
    <x v="0"/>
    <n v="10"/>
    <x v="2"/>
    <s v="No"/>
    <x v="1"/>
    <s v="Yes"/>
    <n v="20"/>
    <n v="12"/>
    <x v="10"/>
  </r>
  <r>
    <n v="3519"/>
    <x v="273"/>
    <x v="1"/>
    <d v="2024-12-10T00:00:00"/>
    <x v="1"/>
    <n v="5"/>
    <x v="0"/>
    <s v="No"/>
    <x v="1"/>
    <s v="No"/>
    <n v="0"/>
    <n v="2"/>
    <x v="11"/>
  </r>
  <r>
    <n v="3520"/>
    <x v="274"/>
    <x v="0"/>
    <d v="2024-12-11T00:00:00"/>
    <x v="0"/>
    <n v="15"/>
    <x v="1"/>
    <s v="Yes"/>
    <x v="0"/>
    <s v="Yes"/>
    <n v="20"/>
    <n v="5"/>
    <x v="0"/>
  </r>
  <r>
    <n v="3521"/>
    <x v="275"/>
    <x v="2"/>
    <d v="2024-12-12T00:00:00"/>
    <x v="1"/>
    <n v="10"/>
    <x v="0"/>
    <s v="No"/>
    <x v="1"/>
    <s v="Yes"/>
    <n v="20"/>
    <n v="10"/>
    <x v="2"/>
  </r>
  <r>
    <n v="3522"/>
    <x v="276"/>
    <x v="1"/>
    <d v="2024-12-13T00:00:00"/>
    <x v="0"/>
    <n v="5"/>
    <x v="2"/>
    <s v="No"/>
    <x v="1"/>
    <s v="No"/>
    <n v="0"/>
    <n v="0"/>
    <x v="1"/>
  </r>
  <r>
    <n v="3523"/>
    <x v="277"/>
    <x v="0"/>
    <d v="2024-12-14T00:00:00"/>
    <x v="1"/>
    <n v="15"/>
    <x v="0"/>
    <s v="Yes"/>
    <x v="0"/>
    <s v="Yes"/>
    <n v="20"/>
    <n v="3"/>
    <x v="3"/>
  </r>
  <r>
    <n v="3524"/>
    <x v="278"/>
    <x v="2"/>
    <d v="2024-12-15T00:00:00"/>
    <x v="0"/>
    <n v="10"/>
    <x v="1"/>
    <s v="No"/>
    <x v="1"/>
    <s v="Yes"/>
    <n v="20"/>
    <n v="15"/>
    <x v="7"/>
  </r>
  <r>
    <n v="3525"/>
    <x v="279"/>
    <x v="1"/>
    <d v="2024-12-16T00:00:00"/>
    <x v="1"/>
    <n v="5"/>
    <x v="0"/>
    <s v="No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6CEC9-E775-4718-B05B-A664BE5138A0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sd="0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4E69E-A2B2-4477-8C9B-5A27E6CAF90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4:C3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sd="0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54ECC4-6671-4A45-96F9-B98283003919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2:C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sd="0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BF36911-0787-43BD-AEA8-C62B7B7780E5}" sourceName="Subscription Type">
  <pivotTables>
    <pivotTable tabId="3" name="tbl_annual_total"/>
    <pivotTable tabId="3" name="tbl_easeasonpass_total"/>
    <pivotTable tabId="3" name="Tabela dinâmica1"/>
  </pivotTables>
  <data>
    <tabular pivotCacheId="2091961889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28D0EE2-DE84-4C98-85F0-84F18A45ADFC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2">
      <filters>
        <filter val="Ultimate"/>
      </filters>
    </filterColumn>
    <filterColumn colId="6">
      <filters>
        <filter val="Annual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2" sqref="I2:I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8"/>
  <sheetViews>
    <sheetView topLeftCell="A13" workbookViewId="0">
      <selection activeCell="B48" sqref="B48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14.28515625" customWidth="1"/>
    <col min="5" max="5" width="18.8554687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3" x14ac:dyDescent="0.25">
      <c r="B3" s="15" t="s">
        <v>320</v>
      </c>
    </row>
    <row r="6" spans="2:3" x14ac:dyDescent="0.25">
      <c r="B6" t="s">
        <v>316</v>
      </c>
    </row>
    <row r="7" spans="2:3" x14ac:dyDescent="0.25">
      <c r="B7" t="s">
        <v>318</v>
      </c>
    </row>
    <row r="9" spans="2:3" x14ac:dyDescent="0.25">
      <c r="B9" s="12" t="s">
        <v>16</v>
      </c>
      <c r="C9" t="s">
        <v>27</v>
      </c>
    </row>
    <row r="11" spans="2:3" x14ac:dyDescent="0.25">
      <c r="B11" s="12" t="s">
        <v>313</v>
      </c>
      <c r="C11" t="s">
        <v>315</v>
      </c>
    </row>
    <row r="12" spans="2:3" x14ac:dyDescent="0.25">
      <c r="B12" s="13" t="s">
        <v>23</v>
      </c>
      <c r="C12" s="14">
        <v>806</v>
      </c>
    </row>
    <row r="13" spans="2:3" x14ac:dyDescent="0.25">
      <c r="B13" s="13" t="s">
        <v>19</v>
      </c>
      <c r="C13" s="14">
        <v>1502</v>
      </c>
    </row>
    <row r="14" spans="2:3" x14ac:dyDescent="0.25">
      <c r="B14" s="13" t="s">
        <v>314</v>
      </c>
      <c r="C14" s="14">
        <v>2308</v>
      </c>
    </row>
    <row r="17" spans="2:5" x14ac:dyDescent="0.25">
      <c r="B17" s="13" t="s">
        <v>321</v>
      </c>
    </row>
    <row r="20" spans="2:5" x14ac:dyDescent="0.25">
      <c r="B20" s="12" t="s">
        <v>16</v>
      </c>
      <c r="C20" t="s">
        <v>27</v>
      </c>
    </row>
    <row r="22" spans="2:5" x14ac:dyDescent="0.25">
      <c r="B22" s="12" t="s">
        <v>313</v>
      </c>
      <c r="C22" t="s">
        <v>319</v>
      </c>
    </row>
    <row r="23" spans="2:5" x14ac:dyDescent="0.25">
      <c r="B23" s="13" t="s">
        <v>22</v>
      </c>
      <c r="C23" s="22">
        <v>0</v>
      </c>
    </row>
    <row r="24" spans="2:5" x14ac:dyDescent="0.25">
      <c r="B24" s="13" t="s">
        <v>26</v>
      </c>
      <c r="C24" s="22">
        <v>0</v>
      </c>
    </row>
    <row r="25" spans="2:5" x14ac:dyDescent="0.25">
      <c r="B25" s="13" t="s">
        <v>18</v>
      </c>
      <c r="C25" s="22">
        <v>990</v>
      </c>
      <c r="E25" s="18">
        <f>GETPIVOTDATA("EA Play Season Pass
Price",$B$22,"Plan","Ultimate")</f>
        <v>990</v>
      </c>
    </row>
    <row r="26" spans="2:5" x14ac:dyDescent="0.25">
      <c r="B26" s="13" t="s">
        <v>314</v>
      </c>
      <c r="C26" s="22">
        <v>990</v>
      </c>
    </row>
    <row r="29" spans="2:5" x14ac:dyDescent="0.25">
      <c r="B29" s="13" t="s">
        <v>322</v>
      </c>
    </row>
    <row r="32" spans="2:5" x14ac:dyDescent="0.25">
      <c r="B32" s="12" t="s">
        <v>16</v>
      </c>
      <c r="C32" t="s">
        <v>27</v>
      </c>
    </row>
    <row r="34" spans="2:5" x14ac:dyDescent="0.25">
      <c r="B34" s="12" t="s">
        <v>313</v>
      </c>
      <c r="C34" t="s">
        <v>323</v>
      </c>
    </row>
    <row r="35" spans="2:5" x14ac:dyDescent="0.25">
      <c r="B35" s="13" t="s">
        <v>22</v>
      </c>
      <c r="C35" s="14">
        <v>0</v>
      </c>
    </row>
    <row r="36" spans="2:5" x14ac:dyDescent="0.25">
      <c r="B36" s="13" t="s">
        <v>26</v>
      </c>
      <c r="C36" s="14">
        <v>480</v>
      </c>
    </row>
    <row r="37" spans="2:5" x14ac:dyDescent="0.25">
      <c r="B37" s="13" t="s">
        <v>18</v>
      </c>
      <c r="C37" s="14">
        <v>660</v>
      </c>
    </row>
    <row r="38" spans="2:5" x14ac:dyDescent="0.25">
      <c r="B38" s="13" t="s">
        <v>314</v>
      </c>
      <c r="C38" s="14">
        <v>1140</v>
      </c>
      <c r="E38" s="18">
        <f>GETPIVOTDATA("Minecraft Season Pass Price",$B$34)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M105"/>
  <sheetViews>
    <sheetView showGridLines="0" showRowColHeaders="0" tabSelected="1" zoomScaleNormal="100" workbookViewId="0">
      <selection activeCell="Z2" sqref="Z2"/>
    </sheetView>
  </sheetViews>
  <sheetFormatPr defaultRowHeight="15" x14ac:dyDescent="0.25"/>
  <cols>
    <col min="1" max="1" width="27.85546875" style="4" customWidth="1"/>
    <col min="2" max="2" width="3.5703125" customWidth="1"/>
    <col min="3" max="3" width="8.42578125" customWidth="1"/>
    <col min="12" max="12" width="6.5703125" customWidth="1"/>
    <col min="16" max="16" width="9.140625" customWidth="1"/>
  </cols>
  <sheetData>
    <row r="1" spans="2:39" ht="15" customHeight="1" x14ac:dyDescent="0.25"/>
    <row r="2" spans="2:39" ht="19.5" customHeight="1" thickBot="1" x14ac:dyDescent="0.5">
      <c r="B2" s="19"/>
      <c r="C2" s="23" t="s">
        <v>317</v>
      </c>
      <c r="D2" s="21"/>
      <c r="E2" s="20"/>
      <c r="F2" s="16"/>
      <c r="G2" s="16"/>
      <c r="H2" s="16"/>
      <c r="I2" s="16"/>
      <c r="J2" s="17"/>
      <c r="K2" s="17"/>
      <c r="L2" s="17"/>
      <c r="M2" s="17"/>
      <c r="N2" s="17"/>
      <c r="O2" s="17"/>
      <c r="P2" s="17"/>
      <c r="Q2" s="17"/>
    </row>
    <row r="3" spans="2:39" ht="15" customHeight="1" thickTop="1" x14ac:dyDescent="0.25"/>
    <row r="4" spans="2:39" ht="15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2:39" ht="1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spans="2:39" ht="1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</row>
    <row r="7" spans="2:39" ht="1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2:39" ht="15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</row>
    <row r="9" spans="2:39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</row>
    <row r="10" spans="2:39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</row>
    <row r="11" spans="2:39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</row>
    <row r="12" spans="2:39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2:39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spans="2:39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2:39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2:39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2:39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</row>
    <row r="18" spans="2:39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</row>
    <row r="19" spans="2:39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</row>
    <row r="20" spans="2:39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</row>
    <row r="21" spans="2:39" ht="20.25" customHeight="1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</row>
    <row r="22" spans="2:39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 spans="2:39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</row>
    <row r="24" spans="2:39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2:39" ht="14.25" customHeight="1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2:39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spans="2:39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</row>
    <row r="28" spans="2:39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</row>
    <row r="29" spans="2:39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</row>
    <row r="30" spans="2:39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spans="2:39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spans="2:39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spans="2:39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 spans="2:39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</row>
    <row r="35" spans="2:39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</row>
    <row r="36" spans="2:39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</row>
    <row r="37" spans="2:39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spans="2:39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</row>
    <row r="39" spans="2:39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</row>
    <row r="40" spans="2:39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</row>
    <row r="41" spans="2:39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 spans="2:39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</row>
    <row r="43" spans="2:39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</row>
    <row r="44" spans="2:39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</row>
    <row r="45" spans="2:39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</row>
    <row r="46" spans="2:39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</row>
    <row r="47" spans="2:39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</row>
    <row r="48" spans="2:39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</row>
    <row r="49" spans="2:39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</row>
    <row r="50" spans="2:39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</row>
    <row r="51" spans="2:39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</row>
    <row r="52" spans="2:39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</row>
    <row r="53" spans="2:39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</row>
    <row r="54" spans="2:39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</row>
    <row r="55" spans="2:39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</row>
    <row r="56" spans="2:39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</row>
    <row r="57" spans="2:39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</row>
    <row r="58" spans="2:39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</row>
    <row r="59" spans="2:39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</row>
    <row r="60" spans="2:39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 spans="2:39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</row>
    <row r="62" spans="2:39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 spans="2:39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 spans="2:39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spans="2:39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</row>
    <row r="66" spans="2:39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</row>
    <row r="67" spans="2:39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</row>
    <row r="68" spans="2:39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spans="2:39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</row>
    <row r="70" spans="2:39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</row>
    <row r="71" spans="2:39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spans="2:39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</row>
    <row r="73" spans="2:39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</row>
    <row r="74" spans="2:39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spans="2:39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</row>
    <row r="76" spans="2:39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</row>
    <row r="77" spans="2:39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</row>
    <row r="78" spans="2:39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</row>
    <row r="79" spans="2:39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</row>
    <row r="80" spans="2:39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</row>
    <row r="81" spans="2:39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</row>
    <row r="82" spans="2:39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spans="2:39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</row>
    <row r="84" spans="2:39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</row>
    <row r="85" spans="2:39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spans="2:39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</row>
    <row r="87" spans="2:39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</row>
    <row r="88" spans="2:39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</row>
    <row r="89" spans="2:39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</row>
    <row r="90" spans="2:39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</row>
    <row r="91" spans="2:39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</row>
    <row r="92" spans="2:39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</row>
    <row r="93" spans="2:39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</row>
    <row r="94" spans="2:39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</row>
    <row r="95" spans="2:39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</row>
    <row r="96" spans="2:39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</row>
    <row r="97" spans="2:39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</row>
    <row r="98" spans="2:39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</row>
    <row r="99" spans="2:39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</row>
    <row r="100" spans="2:39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</row>
    <row r="101" spans="2:39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</row>
    <row r="102" spans="2:39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</row>
    <row r="103" spans="2:39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</row>
    <row r="104" spans="2:39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</row>
    <row r="105" spans="2:39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Maga</cp:lastModifiedBy>
  <dcterms:created xsi:type="dcterms:W3CDTF">2024-12-19T13:13:10Z</dcterms:created>
  <dcterms:modified xsi:type="dcterms:W3CDTF">2026-10-10T19:56:57Z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